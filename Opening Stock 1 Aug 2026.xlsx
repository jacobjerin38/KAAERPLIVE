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nshad\Desktop\Sep 26\NEW INSURANCE\"/>
    </mc:Choice>
  </mc:AlternateContent>
  <xr:revisionPtr revIDLastSave="0" documentId="13_ncr:1_{B267334B-A471-461B-86A0-5A2ADA408FE3}" xr6:coauthVersionLast="47" xr6:coauthVersionMax="47" xr10:uidLastSave="{00000000-0000-0000-0000-000000000000}"/>
  <bookViews>
    <workbookView xWindow="-120" yWindow="-120" windowWidth="29040" windowHeight="17520" xr2:uid="{64261462-A7D2-49AE-B855-632B76EA2355}"/>
  </bookViews>
  <sheets>
    <sheet name="Opening Stock Summary" sheetId="3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8" i="38" l="1"/>
  <c r="H211" i="38"/>
  <c r="H205" i="38"/>
  <c r="H200" i="38"/>
  <c r="H182" i="38"/>
  <c r="H108" i="38"/>
  <c r="H72" i="38"/>
  <c r="H45" i="38"/>
  <c r="H30" i="38"/>
  <c r="H27" i="38"/>
  <c r="H13" i="38"/>
  <c r="H9" i="38"/>
  <c r="H6" i="38"/>
</calcChain>
</file>

<file path=xl/sharedStrings.xml><?xml version="1.0" encoding="utf-8"?>
<sst xmlns="http://schemas.openxmlformats.org/spreadsheetml/2006/main" count="252" uniqueCount="252">
  <si>
    <t>POWER ENGINEERING CORPORATION</t>
  </si>
  <si>
    <t>Office 143 Marina Twin Tower Bldg B</t>
  </si>
  <si>
    <t>Particulars</t>
  </si>
  <si>
    <t>3X Bobipreg &amp; Consumables</t>
  </si>
  <si>
    <t>3X Spatula</t>
  </si>
  <si>
    <t>3X Fillers &amp; Primers</t>
  </si>
  <si>
    <t>F3X8 - 1kg</t>
  </si>
  <si>
    <t>F3X8 - 250g</t>
  </si>
  <si>
    <t>3X Reinforcekit 4D</t>
  </si>
  <si>
    <t>BB-BB-033-05 pcs/pk</t>
  </si>
  <si>
    <t>BB-BB-033-10 pcs/pk</t>
  </si>
  <si>
    <t>BB-BB-102-10 pcs/pk</t>
  </si>
  <si>
    <t>BB-BB-103-10 pcs/pk</t>
  </si>
  <si>
    <t>KEV 25/300 - 8020</t>
  </si>
  <si>
    <t>KEV 50/100 - 8020</t>
  </si>
  <si>
    <t>KEV 50/25 - 8020</t>
  </si>
  <si>
    <t>R3X110 Resin 1.04kg</t>
  </si>
  <si>
    <t>R3X95 resin 1.3kg</t>
  </si>
  <si>
    <t>R4D-ECTHT 25/300 kit</t>
  </si>
  <si>
    <t>R4D-ECTHT 50/100 kit</t>
  </si>
  <si>
    <t>R4D-S 50/100 kit</t>
  </si>
  <si>
    <t>3X Rollerkit</t>
  </si>
  <si>
    <t>F3X8 Dispensing Gun</t>
  </si>
  <si>
    <t>3X Stopkit</t>
  </si>
  <si>
    <t>FIXoKIT</t>
  </si>
  <si>
    <t>STOF002 60.3mm/2.38"</t>
  </si>
  <si>
    <t>STOF004 114mm/4.5"</t>
  </si>
  <si>
    <t>STOF020 508mm/20"</t>
  </si>
  <si>
    <t>STON002 60.3mm/2.38"</t>
  </si>
  <si>
    <t>STON004 114mm/4.5"</t>
  </si>
  <si>
    <t>STON006 168mm/6.625"</t>
  </si>
  <si>
    <t>STON008 219mm/8.625"</t>
  </si>
  <si>
    <t>STON010 273mm/10.75"</t>
  </si>
  <si>
    <t>STON012 324mm/12.75"</t>
  </si>
  <si>
    <t>STON016 406mm/16"</t>
  </si>
  <si>
    <t>STON018 457mm/18"</t>
  </si>
  <si>
    <t>STON020 508mm/20"</t>
  </si>
  <si>
    <t>CH ARC Industrial Coatings</t>
  </si>
  <si>
    <t>ARC 10 250g (QP) EXPIRED</t>
  </si>
  <si>
    <t>ARC 10 QP Gray 250G</t>
  </si>
  <si>
    <t>ARC 5 250g (QP) EXPIRED</t>
  </si>
  <si>
    <t>ARC 5ES 114g Stick EXPIRED</t>
  </si>
  <si>
    <t>ARC 5 QP 250G</t>
  </si>
  <si>
    <t>ARC 791(E) Resin Pack Gray (791 System Kit)</t>
  </si>
  <si>
    <t>ARC 791 Resin Pack EXPIRED</t>
  </si>
  <si>
    <t>ARC 797(E) Prim Pack (791 System Kit)</t>
  </si>
  <si>
    <t>ARC 797(E) PTA &amp; PTB (988 System Kit)</t>
  </si>
  <si>
    <t>ARC 797 Primer Pack EXPIRED</t>
  </si>
  <si>
    <t>ARC 858(E) Gray 16 Ltr</t>
  </si>
  <si>
    <t>ARC 988(E) Red Bulk Kit (988 System Kit)</t>
  </si>
  <si>
    <t>ARC 988 Resin Pack EXPIRED</t>
  </si>
  <si>
    <t>ARC Agg vert PT</t>
  </si>
  <si>
    <t>ARC BX1 (890) 20KG EXPIRED</t>
  </si>
  <si>
    <t>ARC BX1(E) 12x20KG</t>
  </si>
  <si>
    <t>ARC HT-S(E) Gray 16 Ltr</t>
  </si>
  <si>
    <t>ARC HT-T(E) Black 5 Ltr</t>
  </si>
  <si>
    <t>ARC QRV(E) / AGG(E) Vert PT C 16.3kg (791 System Ki</t>
  </si>
  <si>
    <t>ARC QRV(E) / AGG(E) Vert PT C 16.3kg (988 System Ki</t>
  </si>
  <si>
    <t>ARC S2 Gray 16L</t>
  </si>
  <si>
    <t>ARC S4 1125ml Cartridge</t>
  </si>
  <si>
    <t>ARC S4 (A&amp;B) 16 Ltr</t>
  </si>
  <si>
    <t>ARC S5 System Kit 16L</t>
  </si>
  <si>
    <t>ARC SD4I(E) System Kit 16 Ltr Gray</t>
  </si>
  <si>
    <t>CH Industrial Lubricants &amp; MRO Chemicals</t>
  </si>
  <si>
    <t>273 Aerosol 397g</t>
  </si>
  <si>
    <t>276 (20 Liters)</t>
  </si>
  <si>
    <t>277 Aerosol 250g</t>
  </si>
  <si>
    <t>294 Aerosol 397g</t>
  </si>
  <si>
    <t>296 Aerosol 250g</t>
  </si>
  <si>
    <t>3500 5/32" x 35'</t>
  </si>
  <si>
    <t>3500 7/32" x 15'</t>
  </si>
  <si>
    <t>3500 9/32" x 9'</t>
  </si>
  <si>
    <t>438 Aerosol 350g</t>
  </si>
  <si>
    <t>601 (20 Liters)</t>
  </si>
  <si>
    <t>601 Aerosol 350g</t>
  </si>
  <si>
    <t>615 HTG #2 400g</t>
  </si>
  <si>
    <t>622 400g</t>
  </si>
  <si>
    <t>651 (20 Liters)</t>
  </si>
  <si>
    <t>660 Aerosol 275g</t>
  </si>
  <si>
    <t>715 Aerosol 350g</t>
  </si>
  <si>
    <t>723 Aerosol 350g</t>
  </si>
  <si>
    <t xml:space="preserve">725 Aerosol 350g_x000D_
</t>
  </si>
  <si>
    <t>725 Brush Top 500g</t>
  </si>
  <si>
    <t>730 Aerosol 320g</t>
  </si>
  <si>
    <t>772 Brush Top 500g</t>
  </si>
  <si>
    <t>775 (20 Liters)</t>
  </si>
  <si>
    <t>775 Aerosol 350g</t>
  </si>
  <si>
    <t>783 ACR BrshTop 500g</t>
  </si>
  <si>
    <t>785 Brush Top 500g</t>
  </si>
  <si>
    <t>800 (12.7mmx4.57m)</t>
  </si>
  <si>
    <t>800 (19.1mmx13.72m)</t>
  </si>
  <si>
    <t>800 (25.4mmx13.72m)</t>
  </si>
  <si>
    <t>800 (6.4mmx13.72m)</t>
  </si>
  <si>
    <t>803 (20 Liters)</t>
  </si>
  <si>
    <t>820 (20 Liters)</t>
  </si>
  <si>
    <t>860 Polymer Gasket Kit</t>
  </si>
  <si>
    <t>900 Gold Paste (200 g)</t>
  </si>
  <si>
    <t>Lubri-cup NPT Thread</t>
  </si>
  <si>
    <t>CH Mechanical Packing &amp; Gasketing</t>
  </si>
  <si>
    <t>119 Diag 1/8x36"x12Y</t>
  </si>
  <si>
    <t>1400 (12.0mm) 5LB</t>
  </si>
  <si>
    <t>1400R (10.0mm) 2LB</t>
  </si>
  <si>
    <t>1400R (11.1mm) 2LB</t>
  </si>
  <si>
    <t>1400R (12.0mm) 2LB</t>
  </si>
  <si>
    <t>1400R (14.3mm) 5LB</t>
  </si>
  <si>
    <t>1400R (17.5mm) 7LB</t>
  </si>
  <si>
    <t>1400R (22.2mm) 7LB</t>
  </si>
  <si>
    <t>1400R ( 4.8mm) 2LB</t>
  </si>
  <si>
    <t>1400R ( 6.4mm) 2LB</t>
  </si>
  <si>
    <t>1600 (10.0mm) 2LB</t>
  </si>
  <si>
    <t>1600 (12.7mm) 2LB</t>
  </si>
  <si>
    <t>1600 ( 4.8mm) 2LB</t>
  </si>
  <si>
    <t>1600CR 89.98x14.27mm</t>
  </si>
  <si>
    <t>1622 ( 3.2mm) 1LB</t>
  </si>
  <si>
    <t>1622 ( 4.8mm) 2LB</t>
  </si>
  <si>
    <t>1724 (10.0mm) 2LB</t>
  </si>
  <si>
    <t>1724 (12.0mm) 2LB</t>
  </si>
  <si>
    <t>1724 (12.7mm) 2LB</t>
  </si>
  <si>
    <t>1724 ( 3.2mm) 2LB</t>
  </si>
  <si>
    <t>1724 ( 6.0mm) 2LB</t>
  </si>
  <si>
    <t>1724 ( 6.4mm) 2LB</t>
  </si>
  <si>
    <t>1724 ( 7.9mm) 2LB</t>
  </si>
  <si>
    <t>1727 (12.0mm) 5LB</t>
  </si>
  <si>
    <t>1727 (12.7mm) 10LB</t>
  </si>
  <si>
    <t>1727 ( 7.9mm) 2LB</t>
  </si>
  <si>
    <t>1730 (11.1mm) 5LB</t>
  </si>
  <si>
    <t>1730 (12.7mm) 5LB</t>
  </si>
  <si>
    <t>1730 (20.6mm) 10LB</t>
  </si>
  <si>
    <t>1740 (12.0mm) 2LB</t>
  </si>
  <si>
    <t>1740 (12.7mm) 2LB</t>
  </si>
  <si>
    <t>1740 (16.0mm) 10LB</t>
  </si>
  <si>
    <t>1760 (10.0mm) 5LB</t>
  </si>
  <si>
    <t>1761 (11.1mm) 5LB</t>
  </si>
  <si>
    <t>1765 (19.1mm) 10LB</t>
  </si>
  <si>
    <t>1830 (10.0mm) 2LB</t>
  </si>
  <si>
    <t>1830 (12.0mm) 2LB</t>
  </si>
  <si>
    <t>1830 (15.9mm) 10LB</t>
  </si>
  <si>
    <t>1830 (22.2mm) 10LB</t>
  </si>
  <si>
    <t>1830 ( 8.0mm) 2LB</t>
  </si>
  <si>
    <t>185 1" x 75' (25.4mmx23M)</t>
  </si>
  <si>
    <t>185 1/2" x 15' (12mmx4.5M)</t>
  </si>
  <si>
    <t>185 1/4" x 50' (7mmx15M)</t>
  </si>
  <si>
    <t>185 3/16" x75' (5mmx23M)</t>
  </si>
  <si>
    <t>185 3/4" x 30' (20mmx9.14M)</t>
  </si>
  <si>
    <t>185 3/8" x 25' (10mmx7.5M)</t>
  </si>
  <si>
    <t>185 3/8" x 50' (10mmx15M)</t>
  </si>
  <si>
    <t>185 5/8" x 15' (17mmx4.5M)</t>
  </si>
  <si>
    <t>185 Joint Sealant Kit</t>
  </si>
  <si>
    <t>412-W (10.0mm) 2LB</t>
  </si>
  <si>
    <t>412-W (12.0mm) 5LB</t>
  </si>
  <si>
    <t>412-W (14.3mm) 5LB</t>
  </si>
  <si>
    <t>412-W (15.9mm) 10LB</t>
  </si>
  <si>
    <t>412-W (19.1mm) 10LB</t>
  </si>
  <si>
    <t>412-W ( 7.9mm) 2LB</t>
  </si>
  <si>
    <t>412-W ( 7.9mm) 5LB</t>
  </si>
  <si>
    <t>412-W ( 9.5mm) 5LB</t>
  </si>
  <si>
    <t>455 3/32" x 60" x60"</t>
  </si>
  <si>
    <t>459 1/8" x 39" x39"</t>
  </si>
  <si>
    <t>477-1 (12.0mm) 2LB</t>
  </si>
  <si>
    <t>477-1 (12.7mm) 2LB</t>
  </si>
  <si>
    <t>477-1 (14.3mm) 5LB</t>
  </si>
  <si>
    <t>477-1 (15.9mm) 10LB</t>
  </si>
  <si>
    <t>477-1 (19.1mm) 10LB</t>
  </si>
  <si>
    <t>477-1 (25.4mm) 10LB</t>
  </si>
  <si>
    <t>477-1 ( 9.5mm) 2LB</t>
  </si>
  <si>
    <t>CMS 2000 3.8 Ltr</t>
  </si>
  <si>
    <t>Flex Packing Tool Set</t>
  </si>
  <si>
    <t>Tamp TL#0</t>
  </si>
  <si>
    <t>Tamp TL#1 .220 pump</t>
  </si>
  <si>
    <t>Tamp TL#2 .330 pump</t>
  </si>
  <si>
    <t>Tamp TL#3 .516 pump</t>
  </si>
  <si>
    <t>CH Mechanical Seals</t>
  </si>
  <si>
    <t>491/DIN 32mm SA</t>
  </si>
  <si>
    <t>491/DIN 43mm SA</t>
  </si>
  <si>
    <t>RBS 16M RU CB S EP</t>
  </si>
  <si>
    <t>RBS 25M RU CB S EP</t>
  </si>
  <si>
    <t>RBS 28M RU CB S EP</t>
  </si>
  <si>
    <t>RBS 33M RU CB S EP</t>
  </si>
  <si>
    <t>RBS 43M RU CB S EP</t>
  </si>
  <si>
    <t>RBS 48M RU CB S EP</t>
  </si>
  <si>
    <t>RBS 55M RU CB S EP</t>
  </si>
  <si>
    <t>RBS K 16M SU SC EP</t>
  </si>
  <si>
    <t>RBS KS 25M SU SC EP</t>
  </si>
  <si>
    <t>RBS KS 28M SU SC EP</t>
  </si>
  <si>
    <t>RBS KS 33M SU SC EP</t>
  </si>
  <si>
    <t>RBS KS 48M SU SC EP</t>
  </si>
  <si>
    <t>RBS KS 55M SU SC EP</t>
  </si>
  <si>
    <t>RBS S 25M SU SC EP</t>
  </si>
  <si>
    <t xml:space="preserve">RBS S 48M SU SC EP_x000D_
</t>
  </si>
  <si>
    <t>CH Smart/IIOT Products</t>
  </si>
  <si>
    <t>Chesterton Connect (IS)</t>
  </si>
  <si>
    <t>Chesterton Connect V1 (Non IS)</t>
  </si>
  <si>
    <t>Chesterton Tekcell SB-D02 3.6V 19Ah Battery</t>
  </si>
  <si>
    <t>PPE Coverall</t>
  </si>
  <si>
    <t>Inherent FR PRO Orange Coverall</t>
  </si>
  <si>
    <t>Inherent FR PRO Yellow Coverall</t>
  </si>
  <si>
    <t>Treated FR PRO Royal Blue Coverall</t>
  </si>
  <si>
    <t>Treated FR PRO Yellow Coverall</t>
  </si>
  <si>
    <t>PPE Gloves</t>
  </si>
  <si>
    <t>Ranger Cut Ace 5-D (L)</t>
  </si>
  <si>
    <t>Ranger Cut Ace 5-D (M)</t>
  </si>
  <si>
    <t>Ranger Cut Ace 5-D (XL)</t>
  </si>
  <si>
    <t>Ranger Double Dots</t>
  </si>
  <si>
    <t>Ranger Double Rig</t>
  </si>
  <si>
    <t>Ranger Flex Ace (L)</t>
  </si>
  <si>
    <t>Ranger Flex Ace (M)</t>
  </si>
  <si>
    <t>Ranger Flex Ace (XL)</t>
  </si>
  <si>
    <t>Ranger Impact Ace 5-D (L)</t>
  </si>
  <si>
    <t>Ranger Impact Ace 5-D (M)</t>
  </si>
  <si>
    <t>Ranger Impact Ace 5-D (XL)</t>
  </si>
  <si>
    <t>Ranger Impact Ace 5-D (XXL)</t>
  </si>
  <si>
    <t>Ranger R Weld</t>
  </si>
  <si>
    <t>Ranger Tig</t>
  </si>
  <si>
    <t>Ranger Torch Weld</t>
  </si>
  <si>
    <t>PPE Safety Shoes</t>
  </si>
  <si>
    <t>FLINT High Brown Size 037</t>
  </si>
  <si>
    <t>FLINT High Brown Size 038</t>
  </si>
  <si>
    <t>FLINT High Brown Size 039</t>
  </si>
  <si>
    <t>FLINT High Brown Size 040</t>
  </si>
  <si>
    <t>FLINT High Brown Size 041</t>
  </si>
  <si>
    <t>FLINT High Brown Size 042</t>
  </si>
  <si>
    <t>FLINT High Brown Size 043</t>
  </si>
  <si>
    <t>FLINT High Brown Size 044</t>
  </si>
  <si>
    <t>FLINT High Brown Size 045</t>
  </si>
  <si>
    <t>FLINT High Brown Size 046</t>
  </si>
  <si>
    <t>FLINT High Brown Size 047</t>
  </si>
  <si>
    <t>TOPAZE High Safety Shoes EH 40</t>
  </si>
  <si>
    <t>TOPAZE High Safety Shoes EH 41</t>
  </si>
  <si>
    <t>TOPAZE High Safety Shoes EH 43</t>
  </si>
  <si>
    <t>TOPAZE High Safety Shoes EH 44</t>
  </si>
  <si>
    <t>TOPAZE High Safety Shoes EH 45</t>
  </si>
  <si>
    <t>TOPAZE High Safety Shoes EH 46</t>
  </si>
  <si>
    <t>TOPAZE High Safety Shoes EH 47</t>
  </si>
  <si>
    <t>Opening Stock Summary</t>
  </si>
  <si>
    <t>1)</t>
  </si>
  <si>
    <t>2)</t>
  </si>
  <si>
    <t>3)</t>
  </si>
  <si>
    <t>4)</t>
  </si>
  <si>
    <t>5)</t>
  </si>
  <si>
    <t>6)</t>
  </si>
  <si>
    <t>7)</t>
  </si>
  <si>
    <t>8)</t>
  </si>
  <si>
    <t>12)</t>
  </si>
  <si>
    <t>10)</t>
  </si>
  <si>
    <t>11)</t>
  </si>
  <si>
    <t>9)</t>
  </si>
  <si>
    <t>Qty</t>
  </si>
  <si>
    <t xml:space="preserve">Rate </t>
  </si>
  <si>
    <t xml:space="preserve">Group value QAR </t>
  </si>
  <si>
    <t>13)</t>
  </si>
  <si>
    <t xml:space="preserve"> Total Value QAR</t>
  </si>
  <si>
    <t>For 1-Aug-27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</si>
</sst>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&quot;0.00"/>
    <numFmt numFmtId="165" formatCode="&quot;&quot;0"/>
    <numFmt numFmtId="166" formatCode="&quot;&quot;0&quot; each&quot;"/>
    <numFmt numFmtId="167" formatCode="&quot;&quot;0&quot; Kit&quot;"/>
    <numFmt numFmtId="168" formatCode="&quot;&quot;0&quot; pc&quot;"/>
    <numFmt numFmtId="169" formatCode="&quot;&quot;0&quot; nos&quot;"/>
    <numFmt numFmtId="170" formatCode="&quot;&quot;0&quot; box&quot;"/>
    <numFmt numFmtId="171" formatCode="&quot;&quot;0&quot; pairs&quot;"/>
  </numFmts>
  <fonts count="1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i/>
      <sz val="9"/>
      <color theme="0"/>
      <name val="Arial"/>
      <family val="2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8">
    <xf numFmtId="0" fontId="0" fillId="0" borderId="0" xfId="0"/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 indent="2"/>
    </xf>
    <xf numFmtId="167" fontId="4" fillId="0" borderId="0" xfId="0" applyNumberFormat="1" applyFont="1" applyAlignment="1">
      <alignment horizontal="right" vertical="top"/>
    </xf>
    <xf numFmtId="168" fontId="4" fillId="0" borderId="0" xfId="0" applyNumberFormat="1" applyFont="1" applyAlignment="1">
      <alignment horizontal="right" vertical="top"/>
    </xf>
    <xf numFmtId="169" fontId="4" fillId="0" borderId="0" xfId="0" applyNumberFormat="1" applyFont="1" applyAlignment="1">
      <alignment horizontal="right" vertical="top"/>
    </xf>
    <xf numFmtId="170" fontId="4" fillId="0" borderId="0" xfId="0" applyNumberFormat="1" applyFont="1" applyAlignment="1">
      <alignment horizontal="right" vertical="top"/>
    </xf>
    <xf numFmtId="171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 wrapText="1" indent="2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43" fontId="0" fillId="0" borderId="0" xfId="1" applyFont="1"/>
    <xf numFmtId="43" fontId="10" fillId="0" borderId="0" xfId="1" applyFont="1"/>
    <xf numFmtId="0" fontId="7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49" fontId="11" fillId="2" borderId="0" xfId="0" applyNumberFormat="1" applyFont="1" applyFill="1" applyAlignment="1">
      <alignment horizontal="left" vertical="top"/>
    </xf>
    <xf numFmtId="165" fontId="12" fillId="2" borderId="0" xfId="0" applyNumberFormat="1" applyFont="1" applyFill="1" applyAlignment="1">
      <alignment horizontal="right" vertical="top"/>
    </xf>
    <xf numFmtId="165" fontId="13" fillId="2" borderId="0" xfId="0" applyNumberFormat="1" applyFont="1" applyFill="1" applyAlignment="1">
      <alignment horizontal="right" vertical="top"/>
    </xf>
    <xf numFmtId="164" fontId="11" fillId="2" borderId="0" xfId="0" applyNumberFormat="1" applyFont="1" applyFill="1" applyAlignment="1">
      <alignment horizontal="right" vertical="top"/>
    </xf>
    <xf numFmtId="167" fontId="12" fillId="2" borderId="0" xfId="0" applyNumberFormat="1" applyFont="1" applyFill="1" applyAlignment="1">
      <alignment horizontal="right" vertical="top"/>
    </xf>
    <xf numFmtId="164" fontId="13" fillId="2" borderId="0" xfId="0" applyNumberFormat="1" applyFont="1" applyFill="1" applyAlignment="1">
      <alignment horizontal="right" vertical="top"/>
    </xf>
    <xf numFmtId="164" fontId="12" fillId="2" borderId="0" xfId="0" applyNumberFormat="1" applyFont="1" applyFill="1" applyAlignment="1">
      <alignment horizontal="right" vertical="top"/>
    </xf>
    <xf numFmtId="168" fontId="12" fillId="2" borderId="0" xfId="0" applyNumberFormat="1" applyFont="1" applyFill="1" applyAlignment="1">
      <alignment horizontal="right" vertical="top"/>
    </xf>
    <xf numFmtId="49" fontId="11" fillId="2" borderId="0" xfId="0" applyNumberFormat="1" applyFont="1" applyFill="1" applyAlignment="1">
      <alignment vertical="top"/>
    </xf>
    <xf numFmtId="171" fontId="12" fillId="2" borderId="0" xfId="0" applyNumberFormat="1" applyFont="1" applyFill="1" applyAlignment="1">
      <alignment horizontal="right" vertical="top"/>
    </xf>
    <xf numFmtId="43" fontId="14" fillId="2" borderId="0" xfId="1" applyFont="1" applyFill="1"/>
    <xf numFmtId="44" fontId="10" fillId="0" borderId="0" xfId="0" applyNumberFormat="1" applyFont="1"/>
    <xf numFmtId="0" fontId="15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49" fontId="11" fillId="3" borderId="2" xfId="0" applyNumberFormat="1" applyFont="1" applyFill="1" applyBorder="1" applyAlignment="1">
      <alignment horizontal="left" vertical="center"/>
    </xf>
    <xf numFmtId="49" fontId="11" fillId="3" borderId="2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top" indent="2"/>
    </xf>
    <xf numFmtId="165" fontId="3" fillId="0" borderId="1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0" fontId="10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7444B-750C-4D0E-8F64-A899D85CDB70}">
  <dimension ref="A1:H247"/>
  <sheetViews>
    <sheetView tabSelected="1" topLeftCell="A205" workbookViewId="0">
      <selection activeCell="K245" sqref="K245"/>
    </sheetView>
  </sheetViews>
  <sheetFormatPr defaultRowHeight="15" x14ac:dyDescent="0.25"/>
  <cols>
    <col min="1" max="1" width="2.7109375" customWidth="1"/>
    <col min="2" max="2" width="3.85546875" style="17" customWidth="1"/>
    <col min="3" max="3" width="5.28515625" style="16" customWidth="1"/>
    <col min="4" max="4" width="44.85546875" customWidth="1"/>
    <col min="5" max="5" width="10.5703125" bestFit="1" customWidth="1"/>
    <col min="6" max="6" width="8" bestFit="1" customWidth="1"/>
    <col min="7" max="7" width="17.42578125" customWidth="1"/>
    <col min="8" max="8" width="19" customWidth="1"/>
  </cols>
  <sheetData>
    <row r="1" spans="1:8" ht="15.75" x14ac:dyDescent="0.25">
      <c r="A1" s="11"/>
      <c r="B1" s="39" t="s">
        <v>0</v>
      </c>
      <c r="C1" s="39"/>
      <c r="D1" s="39"/>
      <c r="E1" s="39"/>
      <c r="F1" s="39"/>
      <c r="G1" s="39"/>
      <c r="H1" s="39"/>
    </row>
    <row r="2" spans="1:8" x14ac:dyDescent="0.25">
      <c r="A2" s="10"/>
      <c r="B2" s="40" t="s">
        <v>1</v>
      </c>
      <c r="C2" s="40"/>
      <c r="D2" s="40"/>
      <c r="E2" s="40"/>
      <c r="F2" s="40"/>
      <c r="G2" s="40"/>
      <c r="H2" s="40"/>
    </row>
    <row r="3" spans="1:8" x14ac:dyDescent="0.25">
      <c r="A3" s="10"/>
      <c r="B3" s="38" t="s">
        <v>233</v>
      </c>
      <c r="C3" s="38"/>
      <c r="D3" s="38"/>
      <c r="E3" s="38"/>
      <c r="F3" s="38"/>
      <c r="G3" s="38"/>
      <c r="H3" s="38"/>
    </row>
    <row r="4" spans="1:8" x14ac:dyDescent="0.25">
      <c r="A4" s="10"/>
      <c r="B4" s="41" t="s">
        <v>251</v>
      </c>
      <c r="C4" s="41"/>
      <c r="D4" s="41"/>
      <c r="E4" s="41"/>
      <c r="F4" s="41"/>
      <c r="G4" s="41"/>
      <c r="H4" s="41"/>
    </row>
    <row r="5" spans="1:8" ht="28.5" customHeight="1" x14ac:dyDescent="0.25">
      <c r="B5" s="34"/>
      <c r="C5" s="35"/>
      <c r="D5" s="36" t="s">
        <v>2</v>
      </c>
      <c r="E5" s="37" t="s">
        <v>246</v>
      </c>
      <c r="F5" s="37" t="s">
        <v>247</v>
      </c>
      <c r="G5" s="37" t="s">
        <v>250</v>
      </c>
      <c r="H5" s="37" t="s">
        <v>248</v>
      </c>
    </row>
    <row r="6" spans="1:8" x14ac:dyDescent="0.25">
      <c r="B6" s="20" t="s">
        <v>234</v>
      </c>
      <c r="C6" s="21"/>
      <c r="D6" s="22" t="s">
        <v>3</v>
      </c>
      <c r="E6" s="23"/>
      <c r="F6" s="24"/>
      <c r="G6" s="25"/>
      <c r="H6" s="32">
        <f>SUM(G7:G8)</f>
        <v>104.91</v>
      </c>
    </row>
    <row r="7" spans="1:8" x14ac:dyDescent="0.25">
      <c r="C7" s="16">
        <v>1</v>
      </c>
      <c r="D7" s="14" t="s">
        <v>4</v>
      </c>
      <c r="E7" s="13">
        <v>10</v>
      </c>
      <c r="F7" s="1">
        <v>10.49</v>
      </c>
      <c r="G7" s="1">
        <v>104.91</v>
      </c>
      <c r="H7" s="19"/>
    </row>
    <row r="8" spans="1:8" x14ac:dyDescent="0.25">
      <c r="D8" s="3"/>
      <c r="E8" s="13"/>
      <c r="F8" s="12"/>
      <c r="G8" s="1"/>
      <c r="H8" s="18"/>
    </row>
    <row r="9" spans="1:8" x14ac:dyDescent="0.25">
      <c r="B9" s="20" t="s">
        <v>235</v>
      </c>
      <c r="C9" s="21"/>
      <c r="D9" s="22" t="s">
        <v>5</v>
      </c>
      <c r="E9" s="26"/>
      <c r="F9" s="27"/>
      <c r="G9" s="28"/>
      <c r="H9" s="32">
        <f>SUM(G10:G12)</f>
        <v>7699.46</v>
      </c>
    </row>
    <row r="10" spans="1:8" x14ac:dyDescent="0.25">
      <c r="C10" s="16">
        <v>1</v>
      </c>
      <c r="D10" s="14" t="s">
        <v>6</v>
      </c>
      <c r="E10" s="4">
        <v>5</v>
      </c>
      <c r="F10" s="1">
        <v>1353.07</v>
      </c>
      <c r="G10" s="1">
        <v>6765.36</v>
      </c>
      <c r="H10" s="19"/>
    </row>
    <row r="11" spans="1:8" x14ac:dyDescent="0.25">
      <c r="C11" s="16">
        <v>2</v>
      </c>
      <c r="D11" s="14" t="s">
        <v>7</v>
      </c>
      <c r="E11" s="4">
        <v>2</v>
      </c>
      <c r="F11" s="1">
        <v>467.05</v>
      </c>
      <c r="G11" s="1">
        <v>934.1</v>
      </c>
      <c r="H11" s="19"/>
    </row>
    <row r="12" spans="1:8" x14ac:dyDescent="0.25">
      <c r="D12" s="3"/>
      <c r="E12" s="4"/>
      <c r="F12" s="12"/>
      <c r="G12" s="1"/>
      <c r="H12" s="19"/>
    </row>
    <row r="13" spans="1:8" x14ac:dyDescent="0.25">
      <c r="B13" s="20" t="s">
        <v>236</v>
      </c>
      <c r="C13" s="21"/>
      <c r="D13" s="22" t="s">
        <v>8</v>
      </c>
      <c r="E13" s="23"/>
      <c r="F13" s="24"/>
      <c r="G13" s="28"/>
      <c r="H13" s="32">
        <f>SUM(G14:G25)</f>
        <v>364627.99</v>
      </c>
    </row>
    <row r="14" spans="1:8" x14ac:dyDescent="0.25">
      <c r="C14" s="16">
        <v>1</v>
      </c>
      <c r="D14" s="14" t="s">
        <v>9</v>
      </c>
      <c r="E14" s="5">
        <v>41</v>
      </c>
      <c r="F14" s="1">
        <v>112.69</v>
      </c>
      <c r="G14" s="1">
        <v>4620.49</v>
      </c>
      <c r="H14" s="33"/>
    </row>
    <row r="15" spans="1:8" x14ac:dyDescent="0.25">
      <c r="C15" s="16">
        <v>2</v>
      </c>
      <c r="D15" s="14" t="s">
        <v>10</v>
      </c>
      <c r="E15" s="5">
        <v>154</v>
      </c>
      <c r="F15" s="1">
        <v>126.73</v>
      </c>
      <c r="G15" s="1">
        <v>19516.72</v>
      </c>
      <c r="H15" s="33"/>
    </row>
    <row r="16" spans="1:8" x14ac:dyDescent="0.25">
      <c r="C16" s="16">
        <v>3</v>
      </c>
      <c r="D16" s="14" t="s">
        <v>11</v>
      </c>
      <c r="E16" s="5">
        <v>20</v>
      </c>
      <c r="F16" s="12">
        <v>145.79</v>
      </c>
      <c r="G16" s="1">
        <v>2915.7</v>
      </c>
      <c r="H16" s="33"/>
    </row>
    <row r="17" spans="2:8" x14ac:dyDescent="0.25">
      <c r="C17" s="16">
        <v>4</v>
      </c>
      <c r="D17" s="14" t="s">
        <v>12</v>
      </c>
      <c r="E17" s="5">
        <v>57</v>
      </c>
      <c r="F17" s="1">
        <v>123.52</v>
      </c>
      <c r="G17" s="1">
        <v>7040.66</v>
      </c>
      <c r="H17" s="33"/>
    </row>
    <row r="18" spans="2:8" x14ac:dyDescent="0.25">
      <c r="C18" s="16">
        <v>5</v>
      </c>
      <c r="D18" s="14" t="s">
        <v>13</v>
      </c>
      <c r="E18" s="5">
        <v>1</v>
      </c>
      <c r="F18" s="1">
        <v>3961.57</v>
      </c>
      <c r="G18" s="1">
        <v>3961.57</v>
      </c>
      <c r="H18" s="33"/>
    </row>
    <row r="19" spans="2:8" x14ac:dyDescent="0.25">
      <c r="C19" s="16">
        <v>6</v>
      </c>
      <c r="D19" s="14" t="s">
        <v>14</v>
      </c>
      <c r="E19" s="5">
        <v>7</v>
      </c>
      <c r="F19" s="1">
        <v>2047.5</v>
      </c>
      <c r="G19" s="1">
        <v>14332.47</v>
      </c>
      <c r="H19" s="33"/>
    </row>
    <row r="20" spans="2:8" x14ac:dyDescent="0.25">
      <c r="C20" s="16">
        <v>7</v>
      </c>
      <c r="D20" s="14" t="s">
        <v>15</v>
      </c>
      <c r="E20" s="5">
        <v>2</v>
      </c>
      <c r="F20" s="1">
        <v>1933.99</v>
      </c>
      <c r="G20" s="1">
        <v>3867.98</v>
      </c>
      <c r="H20" s="33"/>
    </row>
    <row r="21" spans="2:8" x14ac:dyDescent="0.25">
      <c r="C21" s="16">
        <v>8</v>
      </c>
      <c r="D21" s="14" t="s">
        <v>16</v>
      </c>
      <c r="E21" s="4">
        <v>2</v>
      </c>
      <c r="F21" s="1">
        <v>293.45999999999998</v>
      </c>
      <c r="G21" s="1">
        <v>586.91999999999996</v>
      </c>
      <c r="H21" s="33"/>
    </row>
    <row r="22" spans="2:8" x14ac:dyDescent="0.25">
      <c r="C22" s="16">
        <v>9</v>
      </c>
      <c r="D22" s="14" t="s">
        <v>17</v>
      </c>
      <c r="E22" s="4">
        <v>26</v>
      </c>
      <c r="F22" s="1">
        <v>407.76</v>
      </c>
      <c r="G22" s="1">
        <v>10601.77</v>
      </c>
      <c r="H22" s="33"/>
    </row>
    <row r="23" spans="2:8" x14ac:dyDescent="0.25">
      <c r="C23" s="16">
        <v>10</v>
      </c>
      <c r="D23" s="14" t="s">
        <v>18</v>
      </c>
      <c r="E23" s="4">
        <v>1</v>
      </c>
      <c r="F23" s="1">
        <v>5531.03</v>
      </c>
      <c r="G23" s="1">
        <v>5531.03</v>
      </c>
      <c r="H23" s="33"/>
    </row>
    <row r="24" spans="2:8" x14ac:dyDescent="0.25">
      <c r="C24" s="16">
        <v>11</v>
      </c>
      <c r="D24" s="14" t="s">
        <v>19</v>
      </c>
      <c r="E24" s="4">
        <v>17</v>
      </c>
      <c r="F24" s="1">
        <v>3751.41</v>
      </c>
      <c r="G24" s="1">
        <v>63774.03</v>
      </c>
      <c r="H24" s="33"/>
    </row>
    <row r="25" spans="2:8" x14ac:dyDescent="0.25">
      <c r="C25" s="16">
        <v>12</v>
      </c>
      <c r="D25" s="14" t="s">
        <v>20</v>
      </c>
      <c r="E25" s="4">
        <v>25</v>
      </c>
      <c r="F25" s="1">
        <v>9115.15</v>
      </c>
      <c r="G25" s="1">
        <v>227878.65</v>
      </c>
      <c r="H25" s="33"/>
    </row>
    <row r="26" spans="2:8" x14ac:dyDescent="0.25">
      <c r="D26" s="3"/>
      <c r="E26" s="4"/>
      <c r="F26" s="1"/>
      <c r="G26" s="1"/>
      <c r="H26" s="33"/>
    </row>
    <row r="27" spans="2:8" x14ac:dyDescent="0.25">
      <c r="B27" s="20" t="s">
        <v>237</v>
      </c>
      <c r="C27" s="21"/>
      <c r="D27" s="22" t="s">
        <v>21</v>
      </c>
      <c r="E27" s="23"/>
      <c r="F27" s="24"/>
      <c r="G27" s="28"/>
      <c r="H27" s="32">
        <f>SUM(G27:G28)</f>
        <v>914.53</v>
      </c>
    </row>
    <row r="28" spans="2:8" x14ac:dyDescent="0.25">
      <c r="C28" s="16">
        <v>1</v>
      </c>
      <c r="D28" s="14" t="s">
        <v>22</v>
      </c>
      <c r="E28" s="6">
        <v>1</v>
      </c>
      <c r="F28" s="1">
        <v>914.53</v>
      </c>
      <c r="G28" s="1">
        <v>914.53</v>
      </c>
      <c r="H28" s="19"/>
    </row>
    <row r="29" spans="2:8" x14ac:dyDescent="0.25">
      <c r="D29" s="3"/>
      <c r="E29" s="6"/>
      <c r="F29" s="1"/>
      <c r="G29" s="1"/>
      <c r="H29" s="33"/>
    </row>
    <row r="30" spans="2:8" x14ac:dyDescent="0.25">
      <c r="B30" s="20" t="s">
        <v>238</v>
      </c>
      <c r="C30" s="21"/>
      <c r="D30" s="22" t="s">
        <v>23</v>
      </c>
      <c r="E30" s="23"/>
      <c r="F30" s="24"/>
      <c r="G30" s="28"/>
      <c r="H30" s="32">
        <f>SUM(G31:G43)</f>
        <v>115711.24</v>
      </c>
    </row>
    <row r="31" spans="2:8" x14ac:dyDescent="0.25">
      <c r="C31" s="16">
        <v>1</v>
      </c>
      <c r="D31" s="14" t="s">
        <v>24</v>
      </c>
      <c r="E31" s="6">
        <v>5</v>
      </c>
      <c r="F31" s="12">
        <v>3421.48</v>
      </c>
      <c r="G31" s="1">
        <v>17107.419999999998</v>
      </c>
      <c r="H31" s="33"/>
    </row>
    <row r="32" spans="2:8" x14ac:dyDescent="0.25">
      <c r="C32" s="16">
        <v>2</v>
      </c>
      <c r="D32" s="14" t="s">
        <v>25</v>
      </c>
      <c r="E32" s="5">
        <v>1</v>
      </c>
      <c r="F32" s="1">
        <v>2307.62</v>
      </c>
      <c r="G32" s="1">
        <v>2307.62</v>
      </c>
      <c r="H32" s="33"/>
    </row>
    <row r="33" spans="2:8" x14ac:dyDescent="0.25">
      <c r="C33" s="16">
        <v>3</v>
      </c>
      <c r="D33" s="14" t="s">
        <v>26</v>
      </c>
      <c r="E33" s="13">
        <v>2</v>
      </c>
      <c r="F33" s="1">
        <v>2799.99</v>
      </c>
      <c r="G33" s="1">
        <v>5599.98</v>
      </c>
      <c r="H33" s="33"/>
    </row>
    <row r="34" spans="2:8" x14ac:dyDescent="0.25">
      <c r="C34" s="16">
        <v>4</v>
      </c>
      <c r="D34" s="14" t="s">
        <v>27</v>
      </c>
      <c r="E34" s="5">
        <v>2</v>
      </c>
      <c r="F34" s="12">
        <v>5949.17</v>
      </c>
      <c r="G34" s="1">
        <v>11898.34</v>
      </c>
      <c r="H34" s="33"/>
    </row>
    <row r="35" spans="2:8" x14ac:dyDescent="0.25">
      <c r="C35" s="16">
        <v>5</v>
      </c>
      <c r="D35" s="14" t="s">
        <v>28</v>
      </c>
      <c r="E35" s="5">
        <v>4</v>
      </c>
      <c r="F35" s="1">
        <v>1197.5899999999999</v>
      </c>
      <c r="G35" s="1">
        <v>4790.3500000000004</v>
      </c>
      <c r="H35" s="33"/>
    </row>
    <row r="36" spans="2:8" x14ac:dyDescent="0.25">
      <c r="C36" s="16">
        <v>6</v>
      </c>
      <c r="D36" s="14" t="s">
        <v>29</v>
      </c>
      <c r="E36" s="5">
        <v>4</v>
      </c>
      <c r="F36" s="1">
        <v>1894.59</v>
      </c>
      <c r="G36" s="1">
        <v>7578.37</v>
      </c>
      <c r="H36" s="33"/>
    </row>
    <row r="37" spans="2:8" x14ac:dyDescent="0.25">
      <c r="C37" s="16">
        <v>7</v>
      </c>
      <c r="D37" s="14" t="s">
        <v>30</v>
      </c>
      <c r="E37" s="5">
        <v>10</v>
      </c>
      <c r="F37" s="1">
        <v>2365.4499999999998</v>
      </c>
      <c r="G37" s="1">
        <v>23654.49</v>
      </c>
      <c r="H37" s="33"/>
    </row>
    <row r="38" spans="2:8" x14ac:dyDescent="0.25">
      <c r="C38" s="16">
        <v>8</v>
      </c>
      <c r="D38" s="14" t="s">
        <v>31</v>
      </c>
      <c r="E38" s="5">
        <v>2</v>
      </c>
      <c r="F38" s="2"/>
      <c r="G38" s="2"/>
      <c r="H38" s="33"/>
    </row>
    <row r="39" spans="2:8" x14ac:dyDescent="0.25">
      <c r="C39" s="16">
        <v>9</v>
      </c>
      <c r="D39" s="14" t="s">
        <v>32</v>
      </c>
      <c r="E39" s="5">
        <v>3</v>
      </c>
      <c r="F39" s="1">
        <v>3347.68</v>
      </c>
      <c r="G39" s="1">
        <v>10043.030000000001</v>
      </c>
      <c r="H39" s="33"/>
    </row>
    <row r="40" spans="2:8" x14ac:dyDescent="0.25">
      <c r="C40" s="16">
        <v>10</v>
      </c>
      <c r="D40" s="14" t="s">
        <v>33</v>
      </c>
      <c r="E40" s="5">
        <v>3</v>
      </c>
      <c r="F40" s="1">
        <v>3528.52</v>
      </c>
      <c r="G40" s="1">
        <v>10585.56</v>
      </c>
      <c r="H40" s="33"/>
    </row>
    <row r="41" spans="2:8" x14ac:dyDescent="0.25">
      <c r="C41" s="16">
        <v>11</v>
      </c>
      <c r="D41" s="14" t="s">
        <v>34</v>
      </c>
      <c r="E41" s="5">
        <v>4</v>
      </c>
      <c r="F41" s="1">
        <v>3777.13</v>
      </c>
      <c r="G41" s="1">
        <v>15108.5</v>
      </c>
      <c r="H41" s="33"/>
    </row>
    <row r="42" spans="2:8" x14ac:dyDescent="0.25">
      <c r="C42" s="16">
        <v>12</v>
      </c>
      <c r="D42" s="14" t="s">
        <v>35</v>
      </c>
      <c r="E42" s="5">
        <v>1</v>
      </c>
      <c r="F42" s="1">
        <v>3501.87</v>
      </c>
      <c r="G42" s="1">
        <v>3501.87</v>
      </c>
      <c r="H42" s="33"/>
    </row>
    <row r="43" spans="2:8" x14ac:dyDescent="0.25">
      <c r="C43" s="16">
        <v>13</v>
      </c>
      <c r="D43" s="14" t="s">
        <v>36</v>
      </c>
      <c r="E43" s="5">
        <v>1</v>
      </c>
      <c r="F43" s="1">
        <v>3535.71</v>
      </c>
      <c r="G43" s="1">
        <v>3535.71</v>
      </c>
      <c r="H43" s="33"/>
    </row>
    <row r="44" spans="2:8" x14ac:dyDescent="0.25">
      <c r="D44" s="3"/>
      <c r="E44" s="5"/>
      <c r="F44" s="1"/>
      <c r="G44" s="1"/>
      <c r="H44" s="33"/>
    </row>
    <row r="45" spans="2:8" x14ac:dyDescent="0.25">
      <c r="B45" s="20" t="s">
        <v>239</v>
      </c>
      <c r="C45" s="21"/>
      <c r="D45" s="22" t="s">
        <v>37</v>
      </c>
      <c r="E45" s="23"/>
      <c r="F45" s="24"/>
      <c r="G45" s="28"/>
      <c r="H45" s="32">
        <f>SUM(G46:G70)</f>
        <v>1093422.03</v>
      </c>
    </row>
    <row r="46" spans="2:8" x14ac:dyDescent="0.25">
      <c r="C46" s="16">
        <v>1</v>
      </c>
      <c r="D46" s="14" t="s">
        <v>38</v>
      </c>
      <c r="E46" s="5">
        <v>10</v>
      </c>
      <c r="F46" s="1">
        <v>118.51</v>
      </c>
      <c r="G46" s="1">
        <v>1185.0999999999999</v>
      </c>
      <c r="H46" s="33"/>
    </row>
    <row r="47" spans="2:8" x14ac:dyDescent="0.25">
      <c r="C47" s="16">
        <v>2</v>
      </c>
      <c r="D47" s="14" t="s">
        <v>39</v>
      </c>
      <c r="E47" s="6">
        <v>30</v>
      </c>
      <c r="F47" s="1">
        <v>187.01</v>
      </c>
      <c r="G47" s="1">
        <v>5610.35</v>
      </c>
      <c r="H47" s="33"/>
    </row>
    <row r="48" spans="2:8" x14ac:dyDescent="0.25">
      <c r="C48" s="16">
        <v>3</v>
      </c>
      <c r="D48" s="14" t="s">
        <v>40</v>
      </c>
      <c r="E48" s="5">
        <v>8</v>
      </c>
      <c r="F48" s="1">
        <v>710.43</v>
      </c>
      <c r="G48" s="1">
        <v>5683.41</v>
      </c>
      <c r="H48" s="33"/>
    </row>
    <row r="49" spans="3:8" x14ac:dyDescent="0.25">
      <c r="C49" s="16">
        <v>4</v>
      </c>
      <c r="D49" s="14" t="s">
        <v>41</v>
      </c>
      <c r="E49" s="5">
        <v>8</v>
      </c>
      <c r="F49" s="1">
        <v>61.24</v>
      </c>
      <c r="G49" s="1">
        <v>489.92</v>
      </c>
      <c r="H49" s="33"/>
    </row>
    <row r="50" spans="3:8" x14ac:dyDescent="0.25">
      <c r="C50" s="16">
        <v>5</v>
      </c>
      <c r="D50" s="14" t="s">
        <v>42</v>
      </c>
      <c r="E50" s="6">
        <v>19</v>
      </c>
      <c r="F50" s="1">
        <v>191.36</v>
      </c>
      <c r="G50" s="1">
        <v>3635.85</v>
      </c>
      <c r="H50" s="33"/>
    </row>
    <row r="51" spans="3:8" x14ac:dyDescent="0.25">
      <c r="C51" s="16">
        <v>6</v>
      </c>
      <c r="D51" s="14" t="s">
        <v>43</v>
      </c>
      <c r="E51" s="4">
        <v>10</v>
      </c>
      <c r="F51" s="1">
        <v>1271.42</v>
      </c>
      <c r="G51" s="1">
        <v>12714.22</v>
      </c>
      <c r="H51" s="33"/>
    </row>
    <row r="52" spans="3:8" x14ac:dyDescent="0.25">
      <c r="C52" s="16">
        <v>7</v>
      </c>
      <c r="D52" s="14" t="s">
        <v>44</v>
      </c>
      <c r="E52" s="5">
        <v>6</v>
      </c>
      <c r="F52" s="1">
        <v>1055.06</v>
      </c>
      <c r="G52" s="1">
        <v>6330.35</v>
      </c>
      <c r="H52" s="33"/>
    </row>
    <row r="53" spans="3:8" x14ac:dyDescent="0.25">
      <c r="C53" s="16">
        <v>8</v>
      </c>
      <c r="D53" s="14" t="s">
        <v>45</v>
      </c>
      <c r="E53" s="4">
        <v>10</v>
      </c>
      <c r="F53" s="1">
        <v>471.38</v>
      </c>
      <c r="G53" s="1">
        <v>4713.84</v>
      </c>
      <c r="H53" s="33"/>
    </row>
    <row r="54" spans="3:8" x14ac:dyDescent="0.25">
      <c r="C54" s="16">
        <v>9</v>
      </c>
      <c r="D54" s="14" t="s">
        <v>46</v>
      </c>
      <c r="E54" s="4">
        <v>3</v>
      </c>
      <c r="F54" s="1">
        <v>1444.2</v>
      </c>
      <c r="G54" s="1">
        <v>4332.6099999999997</v>
      </c>
      <c r="H54" s="33"/>
    </row>
    <row r="55" spans="3:8" x14ac:dyDescent="0.25">
      <c r="C55" s="16">
        <v>10</v>
      </c>
      <c r="D55" s="14" t="s">
        <v>47</v>
      </c>
      <c r="E55" s="5">
        <v>14</v>
      </c>
      <c r="F55" s="1">
        <v>399.23</v>
      </c>
      <c r="G55" s="1">
        <v>5589.16</v>
      </c>
      <c r="H55" s="33"/>
    </row>
    <row r="56" spans="3:8" x14ac:dyDescent="0.25">
      <c r="C56" s="16">
        <v>11</v>
      </c>
      <c r="D56" s="14" t="s">
        <v>48</v>
      </c>
      <c r="E56" s="4">
        <v>16</v>
      </c>
      <c r="F56" s="1">
        <v>6602.57</v>
      </c>
      <c r="G56" s="1">
        <v>105641.13</v>
      </c>
      <c r="H56" s="33"/>
    </row>
    <row r="57" spans="3:8" x14ac:dyDescent="0.25">
      <c r="C57" s="16">
        <v>12</v>
      </c>
      <c r="D57" s="14" t="s">
        <v>49</v>
      </c>
      <c r="E57" s="4">
        <v>3</v>
      </c>
      <c r="F57" s="1">
        <v>6514.88</v>
      </c>
      <c r="G57" s="1">
        <v>19544.64</v>
      </c>
      <c r="H57" s="33"/>
    </row>
    <row r="58" spans="3:8" x14ac:dyDescent="0.25">
      <c r="C58" s="16">
        <v>13</v>
      </c>
      <c r="D58" s="14" t="s">
        <v>50</v>
      </c>
      <c r="E58" s="5">
        <v>3</v>
      </c>
      <c r="F58" s="1">
        <v>2608</v>
      </c>
      <c r="G58" s="1">
        <v>7824</v>
      </c>
      <c r="H58" s="33"/>
    </row>
    <row r="59" spans="3:8" x14ac:dyDescent="0.25">
      <c r="C59" s="16">
        <v>14</v>
      </c>
      <c r="D59" s="14" t="s">
        <v>51</v>
      </c>
      <c r="E59" s="5">
        <v>19</v>
      </c>
      <c r="F59" s="1">
        <v>161.25</v>
      </c>
      <c r="G59" s="1">
        <v>3063.8</v>
      </c>
      <c r="H59" s="33"/>
    </row>
    <row r="60" spans="3:8" x14ac:dyDescent="0.25">
      <c r="C60" s="16">
        <v>15</v>
      </c>
      <c r="D60" s="14" t="s">
        <v>52</v>
      </c>
      <c r="E60" s="5">
        <v>5</v>
      </c>
      <c r="F60" s="1">
        <v>1452.9</v>
      </c>
      <c r="G60" s="1">
        <v>7264.5</v>
      </c>
      <c r="H60" s="33"/>
    </row>
    <row r="61" spans="3:8" x14ac:dyDescent="0.25">
      <c r="C61" s="16">
        <v>16</v>
      </c>
      <c r="D61" s="14" t="s">
        <v>53</v>
      </c>
      <c r="E61" s="4">
        <v>12</v>
      </c>
      <c r="F61" s="1">
        <v>2010.59</v>
      </c>
      <c r="G61" s="1">
        <v>24127.040000000001</v>
      </c>
      <c r="H61" s="33"/>
    </row>
    <row r="62" spans="3:8" x14ac:dyDescent="0.25">
      <c r="C62" s="16">
        <v>17</v>
      </c>
      <c r="D62" s="14" t="s">
        <v>54</v>
      </c>
      <c r="E62" s="4">
        <v>73</v>
      </c>
      <c r="F62" s="1">
        <v>7914.04</v>
      </c>
      <c r="G62" s="1">
        <v>577725.13</v>
      </c>
      <c r="H62" s="33"/>
    </row>
    <row r="63" spans="3:8" x14ac:dyDescent="0.25">
      <c r="C63" s="16">
        <v>18</v>
      </c>
      <c r="D63" s="14" t="s">
        <v>55</v>
      </c>
      <c r="E63" s="4">
        <v>1</v>
      </c>
      <c r="F63" s="1">
        <v>3602.05</v>
      </c>
      <c r="G63" s="1">
        <v>3602.05</v>
      </c>
      <c r="H63" s="33"/>
    </row>
    <row r="64" spans="3:8" x14ac:dyDescent="0.25">
      <c r="C64" s="16">
        <v>19</v>
      </c>
      <c r="D64" s="14" t="s">
        <v>56</v>
      </c>
      <c r="E64" s="4">
        <v>30</v>
      </c>
      <c r="F64" s="1">
        <v>199.69</v>
      </c>
      <c r="G64" s="1">
        <v>5990.7</v>
      </c>
      <c r="H64" s="33"/>
    </row>
    <row r="65" spans="2:8" x14ac:dyDescent="0.25">
      <c r="C65" s="16">
        <v>20</v>
      </c>
      <c r="D65" s="14" t="s">
        <v>57</v>
      </c>
      <c r="E65" s="4">
        <v>36</v>
      </c>
      <c r="F65" s="1">
        <v>201.1</v>
      </c>
      <c r="G65" s="1">
        <v>7239.55</v>
      </c>
      <c r="H65" s="33"/>
    </row>
    <row r="66" spans="2:8" x14ac:dyDescent="0.25">
      <c r="C66" s="16">
        <v>21</v>
      </c>
      <c r="D66" s="14" t="s">
        <v>58</v>
      </c>
      <c r="E66" s="4">
        <v>12</v>
      </c>
      <c r="F66" s="1">
        <v>5968.77</v>
      </c>
      <c r="G66" s="1">
        <v>71625.27</v>
      </c>
      <c r="H66" s="33"/>
    </row>
    <row r="67" spans="2:8" x14ac:dyDescent="0.25">
      <c r="C67" s="16">
        <v>22</v>
      </c>
      <c r="D67" s="14" t="s">
        <v>59</v>
      </c>
      <c r="E67" s="5">
        <v>7</v>
      </c>
      <c r="F67" s="1">
        <v>453.39</v>
      </c>
      <c r="G67" s="1">
        <v>3173.73</v>
      </c>
      <c r="H67" s="33"/>
    </row>
    <row r="68" spans="2:8" x14ac:dyDescent="0.25">
      <c r="C68" s="16">
        <v>23</v>
      </c>
      <c r="D68" s="14" t="s">
        <v>60</v>
      </c>
      <c r="E68" s="4">
        <v>17</v>
      </c>
      <c r="F68" s="1">
        <v>7297.4</v>
      </c>
      <c r="G68" s="1">
        <v>124055.88</v>
      </c>
      <c r="H68" s="33"/>
    </row>
    <row r="69" spans="2:8" x14ac:dyDescent="0.25">
      <c r="C69" s="16">
        <v>24</v>
      </c>
      <c r="D69" s="14" t="s">
        <v>61</v>
      </c>
      <c r="E69" s="4">
        <v>5</v>
      </c>
      <c r="F69" s="1">
        <v>7730.42</v>
      </c>
      <c r="G69" s="1">
        <v>38652.11</v>
      </c>
      <c r="H69" s="33"/>
    </row>
    <row r="70" spans="2:8" x14ac:dyDescent="0.25">
      <c r="C70" s="16">
        <v>25</v>
      </c>
      <c r="D70" s="14" t="s">
        <v>62</v>
      </c>
      <c r="E70" s="4">
        <v>6</v>
      </c>
      <c r="F70" s="1">
        <v>7267.95</v>
      </c>
      <c r="G70" s="1">
        <v>43607.69</v>
      </c>
      <c r="H70" s="33"/>
    </row>
    <row r="71" spans="2:8" x14ac:dyDescent="0.25">
      <c r="D71" s="3"/>
      <c r="E71" s="4"/>
      <c r="F71" s="1"/>
      <c r="G71" s="1"/>
      <c r="H71" s="33"/>
    </row>
    <row r="72" spans="2:8" x14ac:dyDescent="0.25">
      <c r="B72" s="20" t="s">
        <v>240</v>
      </c>
      <c r="C72" s="21"/>
      <c r="D72" s="22" t="s">
        <v>63</v>
      </c>
      <c r="E72" s="23"/>
      <c r="F72" s="24"/>
      <c r="G72" s="28"/>
      <c r="H72" s="32">
        <f>SUM(G73:G106)</f>
        <v>175276.64</v>
      </c>
    </row>
    <row r="73" spans="2:8" x14ac:dyDescent="0.25">
      <c r="C73" s="16">
        <v>1</v>
      </c>
      <c r="D73" s="14" t="s">
        <v>64</v>
      </c>
      <c r="E73" s="5">
        <v>10</v>
      </c>
      <c r="F73" s="1">
        <v>65</v>
      </c>
      <c r="G73" s="1">
        <v>650</v>
      </c>
      <c r="H73" s="33"/>
    </row>
    <row r="74" spans="2:8" x14ac:dyDescent="0.25">
      <c r="C74" s="16">
        <v>2</v>
      </c>
      <c r="D74" s="14" t="s">
        <v>65</v>
      </c>
      <c r="E74" s="5">
        <v>42</v>
      </c>
      <c r="F74" s="1">
        <v>853.58</v>
      </c>
      <c r="G74" s="1">
        <v>35850.36</v>
      </c>
      <c r="H74" s="33"/>
    </row>
    <row r="75" spans="2:8" x14ac:dyDescent="0.25">
      <c r="C75" s="16">
        <v>3</v>
      </c>
      <c r="D75" s="14" t="s">
        <v>66</v>
      </c>
      <c r="E75" s="5">
        <v>21</v>
      </c>
      <c r="F75" s="1">
        <v>69.33</v>
      </c>
      <c r="G75" s="1">
        <v>1455.98</v>
      </c>
      <c r="H75" s="33"/>
    </row>
    <row r="76" spans="2:8" x14ac:dyDescent="0.25">
      <c r="C76" s="16">
        <v>4</v>
      </c>
      <c r="D76" s="14" t="s">
        <v>67</v>
      </c>
      <c r="E76" s="5">
        <v>55</v>
      </c>
      <c r="F76" s="1">
        <v>35.58</v>
      </c>
      <c r="G76" s="1">
        <v>1956.71</v>
      </c>
      <c r="H76" s="33"/>
    </row>
    <row r="77" spans="2:8" x14ac:dyDescent="0.25">
      <c r="C77" s="16">
        <v>5</v>
      </c>
      <c r="D77" s="14" t="s">
        <v>68</v>
      </c>
      <c r="E77" s="5">
        <v>10</v>
      </c>
      <c r="F77" s="1">
        <v>83.72</v>
      </c>
      <c r="G77" s="1">
        <v>837.19</v>
      </c>
      <c r="H77" s="33"/>
    </row>
    <row r="78" spans="2:8" x14ac:dyDescent="0.25">
      <c r="C78" s="16">
        <v>6</v>
      </c>
      <c r="D78" s="14" t="s">
        <v>69</v>
      </c>
      <c r="E78" s="5">
        <v>8</v>
      </c>
      <c r="F78" s="12">
        <v>200</v>
      </c>
      <c r="G78" s="1">
        <v>1600</v>
      </c>
      <c r="H78" s="33"/>
    </row>
    <row r="79" spans="2:8" x14ac:dyDescent="0.25">
      <c r="C79" s="16">
        <v>7</v>
      </c>
      <c r="D79" s="14" t="s">
        <v>70</v>
      </c>
      <c r="E79" s="5">
        <v>9</v>
      </c>
      <c r="F79" s="1">
        <v>150</v>
      </c>
      <c r="G79" s="1">
        <v>1350</v>
      </c>
      <c r="H79" s="33"/>
    </row>
    <row r="80" spans="2:8" x14ac:dyDescent="0.25">
      <c r="C80" s="16">
        <v>8</v>
      </c>
      <c r="D80" s="14" t="s">
        <v>71</v>
      </c>
      <c r="E80" s="5">
        <v>8</v>
      </c>
      <c r="F80" s="1">
        <v>180</v>
      </c>
      <c r="G80" s="1">
        <v>1440</v>
      </c>
      <c r="H80" s="33"/>
    </row>
    <row r="81" spans="3:8" x14ac:dyDescent="0.25">
      <c r="C81" s="16">
        <v>9</v>
      </c>
      <c r="D81" s="14" t="s">
        <v>72</v>
      </c>
      <c r="E81" s="5">
        <v>5</v>
      </c>
      <c r="F81" s="1">
        <v>135</v>
      </c>
      <c r="G81" s="1">
        <v>675</v>
      </c>
      <c r="H81" s="33"/>
    </row>
    <row r="82" spans="3:8" x14ac:dyDescent="0.25">
      <c r="C82" s="16">
        <v>10</v>
      </c>
      <c r="D82" s="14" t="s">
        <v>73</v>
      </c>
      <c r="E82" s="5">
        <v>11</v>
      </c>
      <c r="F82" s="1">
        <v>747.57</v>
      </c>
      <c r="G82" s="1">
        <v>8223.27</v>
      </c>
      <c r="H82" s="33"/>
    </row>
    <row r="83" spans="3:8" x14ac:dyDescent="0.25">
      <c r="C83" s="16">
        <v>11</v>
      </c>
      <c r="D83" s="14" t="s">
        <v>74</v>
      </c>
      <c r="E83" s="5">
        <v>30</v>
      </c>
      <c r="F83" s="1">
        <v>50</v>
      </c>
      <c r="G83" s="1">
        <v>1500</v>
      </c>
      <c r="H83" s="33"/>
    </row>
    <row r="84" spans="3:8" x14ac:dyDescent="0.25">
      <c r="C84" s="16">
        <v>12</v>
      </c>
      <c r="D84" s="14" t="s">
        <v>75</v>
      </c>
      <c r="E84" s="5">
        <v>17</v>
      </c>
      <c r="F84" s="1">
        <v>124.42</v>
      </c>
      <c r="G84" s="1">
        <v>2115.17</v>
      </c>
      <c r="H84" s="33"/>
    </row>
    <row r="85" spans="3:8" x14ac:dyDescent="0.25">
      <c r="C85" s="16">
        <v>13</v>
      </c>
      <c r="D85" s="14" t="s">
        <v>76</v>
      </c>
      <c r="E85" s="5">
        <v>9</v>
      </c>
      <c r="F85" s="1">
        <v>100</v>
      </c>
      <c r="G85" s="1">
        <v>900</v>
      </c>
      <c r="H85" s="33"/>
    </row>
    <row r="86" spans="3:8" x14ac:dyDescent="0.25">
      <c r="C86" s="16">
        <v>14</v>
      </c>
      <c r="D86" s="14" t="s">
        <v>77</v>
      </c>
      <c r="E86" s="5">
        <v>1</v>
      </c>
      <c r="F86" s="1">
        <v>677</v>
      </c>
      <c r="G86" s="1">
        <v>677</v>
      </c>
      <c r="H86" s="33"/>
    </row>
    <row r="87" spans="3:8" x14ac:dyDescent="0.25">
      <c r="C87" s="16">
        <v>15</v>
      </c>
      <c r="D87" s="14" t="s">
        <v>78</v>
      </c>
      <c r="E87" s="5">
        <v>10</v>
      </c>
      <c r="F87" s="1">
        <v>100</v>
      </c>
      <c r="G87" s="1">
        <v>1000</v>
      </c>
      <c r="H87" s="33"/>
    </row>
    <row r="88" spans="3:8" x14ac:dyDescent="0.25">
      <c r="C88" s="16">
        <v>16</v>
      </c>
      <c r="D88" s="14" t="s">
        <v>79</v>
      </c>
      <c r="E88" s="5">
        <v>27</v>
      </c>
      <c r="F88" s="1">
        <v>64.08</v>
      </c>
      <c r="G88" s="1">
        <v>1730.16</v>
      </c>
      <c r="H88" s="33"/>
    </row>
    <row r="89" spans="3:8" x14ac:dyDescent="0.25">
      <c r="C89" s="16">
        <v>17</v>
      </c>
      <c r="D89" s="14" t="s">
        <v>80</v>
      </c>
      <c r="E89" s="5">
        <v>118</v>
      </c>
      <c r="F89" s="1">
        <v>48.78</v>
      </c>
      <c r="G89" s="1">
        <v>5756.57</v>
      </c>
      <c r="H89" s="33"/>
    </row>
    <row r="90" spans="3:8" ht="13.5" customHeight="1" x14ac:dyDescent="0.25">
      <c r="C90" s="16">
        <v>18</v>
      </c>
      <c r="D90" s="15" t="s">
        <v>81</v>
      </c>
      <c r="E90" s="5">
        <v>41</v>
      </c>
      <c r="F90" s="1">
        <v>302.14</v>
      </c>
      <c r="G90" s="1">
        <v>12387.74</v>
      </c>
      <c r="H90" s="33"/>
    </row>
    <row r="91" spans="3:8" x14ac:dyDescent="0.25">
      <c r="C91" s="16">
        <v>19</v>
      </c>
      <c r="D91" s="14" t="s">
        <v>82</v>
      </c>
      <c r="E91" s="5">
        <v>114</v>
      </c>
      <c r="F91" s="1">
        <v>275.99</v>
      </c>
      <c r="G91" s="1">
        <v>31462.41</v>
      </c>
      <c r="H91" s="33"/>
    </row>
    <row r="92" spans="3:8" x14ac:dyDescent="0.25">
      <c r="C92" s="16">
        <v>20</v>
      </c>
      <c r="D92" s="14" t="s">
        <v>83</v>
      </c>
      <c r="E92" s="5">
        <v>82</v>
      </c>
      <c r="F92" s="1">
        <v>128.72999999999999</v>
      </c>
      <c r="G92" s="1">
        <v>10556.1</v>
      </c>
      <c r="H92" s="33"/>
    </row>
    <row r="93" spans="3:8" x14ac:dyDescent="0.25">
      <c r="C93" s="16">
        <v>21</v>
      </c>
      <c r="D93" s="14" t="s">
        <v>84</v>
      </c>
      <c r="E93" s="5">
        <v>27</v>
      </c>
      <c r="F93" s="1">
        <v>283.32</v>
      </c>
      <c r="G93" s="1">
        <v>7649.72</v>
      </c>
      <c r="H93" s="33"/>
    </row>
    <row r="94" spans="3:8" x14ac:dyDescent="0.25">
      <c r="C94" s="16">
        <v>22</v>
      </c>
      <c r="D94" s="14" t="s">
        <v>85</v>
      </c>
      <c r="E94" s="5">
        <v>1</v>
      </c>
      <c r="F94" s="1">
        <v>1220</v>
      </c>
      <c r="G94" s="1">
        <v>1220</v>
      </c>
      <c r="H94" s="33"/>
    </row>
    <row r="95" spans="3:8" x14ac:dyDescent="0.25">
      <c r="C95" s="16">
        <v>23</v>
      </c>
      <c r="D95" s="14" t="s">
        <v>86</v>
      </c>
      <c r="E95" s="5">
        <v>11</v>
      </c>
      <c r="F95" s="1">
        <v>65</v>
      </c>
      <c r="G95" s="1">
        <v>715</v>
      </c>
      <c r="H95" s="33"/>
    </row>
    <row r="96" spans="3:8" x14ac:dyDescent="0.25">
      <c r="C96" s="16">
        <v>24</v>
      </c>
      <c r="D96" s="15" t="s">
        <v>87</v>
      </c>
      <c r="E96" s="5">
        <v>20</v>
      </c>
      <c r="F96" s="1">
        <v>148.94</v>
      </c>
      <c r="G96" s="1">
        <v>2978.79</v>
      </c>
      <c r="H96" s="33"/>
    </row>
    <row r="97" spans="2:8" x14ac:dyDescent="0.25">
      <c r="C97" s="16">
        <v>25</v>
      </c>
      <c r="D97" s="14" t="s">
        <v>88</v>
      </c>
      <c r="E97" s="5">
        <v>10</v>
      </c>
      <c r="F97" s="1">
        <v>260.17</v>
      </c>
      <c r="G97" s="1">
        <v>2601.7399999999998</v>
      </c>
      <c r="H97" s="33"/>
    </row>
    <row r="98" spans="2:8" x14ac:dyDescent="0.25">
      <c r="C98" s="16">
        <v>26</v>
      </c>
      <c r="D98" s="14" t="s">
        <v>89</v>
      </c>
      <c r="E98" s="5">
        <v>76</v>
      </c>
      <c r="F98" s="1">
        <v>16.48</v>
      </c>
      <c r="G98" s="1">
        <v>1252.1199999999999</v>
      </c>
      <c r="H98" s="33"/>
    </row>
    <row r="99" spans="2:8" x14ac:dyDescent="0.25">
      <c r="C99" s="16">
        <v>27</v>
      </c>
      <c r="D99" s="14" t="s">
        <v>90</v>
      </c>
      <c r="E99" s="5">
        <v>10</v>
      </c>
      <c r="F99" s="1">
        <v>62.49</v>
      </c>
      <c r="G99" s="1">
        <v>624.94000000000005</v>
      </c>
      <c r="H99" s="33"/>
    </row>
    <row r="100" spans="2:8" x14ac:dyDescent="0.25">
      <c r="C100" s="16">
        <v>28</v>
      </c>
      <c r="D100" s="14" t="s">
        <v>91</v>
      </c>
      <c r="E100" s="5">
        <v>16</v>
      </c>
      <c r="F100" s="1">
        <v>84.14</v>
      </c>
      <c r="G100" s="1">
        <v>1346.2</v>
      </c>
      <c r="H100" s="33"/>
    </row>
    <row r="101" spans="2:8" x14ac:dyDescent="0.25">
      <c r="C101" s="16">
        <v>29</v>
      </c>
      <c r="D101" s="14" t="s">
        <v>92</v>
      </c>
      <c r="E101" s="5">
        <v>9</v>
      </c>
      <c r="F101" s="1">
        <v>34.86</v>
      </c>
      <c r="G101" s="1">
        <v>313.70999999999998</v>
      </c>
      <c r="H101" s="33"/>
    </row>
    <row r="102" spans="2:8" x14ac:dyDescent="0.25">
      <c r="C102" s="16">
        <v>30</v>
      </c>
      <c r="D102" s="14" t="s">
        <v>93</v>
      </c>
      <c r="E102" s="5">
        <v>20</v>
      </c>
      <c r="F102" s="1">
        <v>605.23</v>
      </c>
      <c r="G102" s="1">
        <v>12104.6</v>
      </c>
      <c r="H102" s="33"/>
    </row>
    <row r="103" spans="2:8" x14ac:dyDescent="0.25">
      <c r="C103" s="16">
        <v>31</v>
      </c>
      <c r="D103" s="14" t="s">
        <v>94</v>
      </c>
      <c r="E103" s="5">
        <v>13</v>
      </c>
      <c r="F103" s="1">
        <v>885.32</v>
      </c>
      <c r="G103" s="1">
        <v>11509.16</v>
      </c>
      <c r="H103" s="33"/>
    </row>
    <row r="104" spans="2:8" x14ac:dyDescent="0.25">
      <c r="C104" s="16">
        <v>32</v>
      </c>
      <c r="D104" s="14" t="s">
        <v>95</v>
      </c>
      <c r="E104" s="4">
        <v>6</v>
      </c>
      <c r="F104" s="1">
        <v>1481.52</v>
      </c>
      <c r="G104" s="1">
        <v>8889.1</v>
      </c>
      <c r="H104" s="33"/>
    </row>
    <row r="105" spans="2:8" x14ac:dyDescent="0.25">
      <c r="C105" s="16">
        <v>33</v>
      </c>
      <c r="D105" s="14" t="s">
        <v>96</v>
      </c>
      <c r="E105" s="5">
        <v>12</v>
      </c>
      <c r="F105" s="1">
        <v>109.76</v>
      </c>
      <c r="G105" s="1">
        <v>1317.07</v>
      </c>
      <c r="H105" s="33"/>
    </row>
    <row r="106" spans="2:8" x14ac:dyDescent="0.25">
      <c r="C106" s="16">
        <v>34</v>
      </c>
      <c r="D106" s="14" t="s">
        <v>97</v>
      </c>
      <c r="E106" s="5">
        <v>6</v>
      </c>
      <c r="F106" s="1">
        <v>105.14</v>
      </c>
      <c r="G106" s="1">
        <v>630.83000000000004</v>
      </c>
      <c r="H106" s="33"/>
    </row>
    <row r="107" spans="2:8" x14ac:dyDescent="0.25">
      <c r="D107" s="3"/>
      <c r="E107" s="5"/>
      <c r="F107" s="1"/>
      <c r="G107" s="1"/>
      <c r="H107" s="33"/>
    </row>
    <row r="108" spans="2:8" x14ac:dyDescent="0.25">
      <c r="B108" s="20" t="s">
        <v>241</v>
      </c>
      <c r="C108" s="21"/>
      <c r="D108" s="22" t="s">
        <v>98</v>
      </c>
      <c r="E108" s="23"/>
      <c r="F108" s="24"/>
      <c r="G108" s="28"/>
      <c r="H108" s="32">
        <f>SUM(G109:G180)</f>
        <v>183725.7399999999</v>
      </c>
    </row>
    <row r="109" spans="2:8" x14ac:dyDescent="0.25">
      <c r="C109" s="16">
        <v>1</v>
      </c>
      <c r="D109" s="14" t="s">
        <v>99</v>
      </c>
      <c r="E109" s="5">
        <v>1</v>
      </c>
      <c r="F109" s="1">
        <v>5269.21</v>
      </c>
      <c r="G109" s="1">
        <v>5269.21</v>
      </c>
      <c r="H109" s="33"/>
    </row>
    <row r="110" spans="2:8" x14ac:dyDescent="0.25">
      <c r="C110" s="16">
        <v>2</v>
      </c>
      <c r="D110" s="14" t="s">
        <v>100</v>
      </c>
      <c r="E110" s="5">
        <v>1</v>
      </c>
      <c r="F110" s="1">
        <v>2264</v>
      </c>
      <c r="G110" s="1">
        <v>2264</v>
      </c>
      <c r="H110" s="33"/>
    </row>
    <row r="111" spans="2:8" x14ac:dyDescent="0.25">
      <c r="C111" s="16">
        <v>3</v>
      </c>
      <c r="D111" s="14" t="s">
        <v>101</v>
      </c>
      <c r="E111" s="5">
        <v>4</v>
      </c>
      <c r="F111" s="1">
        <v>911.66</v>
      </c>
      <c r="G111" s="1">
        <v>3646.62</v>
      </c>
      <c r="H111" s="33"/>
    </row>
    <row r="112" spans="2:8" x14ac:dyDescent="0.25">
      <c r="C112" s="16">
        <v>4</v>
      </c>
      <c r="D112" s="14" t="s">
        <v>102</v>
      </c>
      <c r="E112" s="5">
        <v>3</v>
      </c>
      <c r="F112" s="1">
        <v>920.18</v>
      </c>
      <c r="G112" s="1">
        <v>2760.54</v>
      </c>
      <c r="H112" s="33"/>
    </row>
    <row r="113" spans="3:8" x14ac:dyDescent="0.25">
      <c r="C113" s="16">
        <v>5</v>
      </c>
      <c r="D113" s="14" t="s">
        <v>103</v>
      </c>
      <c r="E113" s="5">
        <v>5</v>
      </c>
      <c r="F113" s="1">
        <v>933.87</v>
      </c>
      <c r="G113" s="1">
        <v>4669.3599999999997</v>
      </c>
      <c r="H113" s="33"/>
    </row>
    <row r="114" spans="3:8" x14ac:dyDescent="0.25">
      <c r="C114" s="16">
        <v>6</v>
      </c>
      <c r="D114" s="14" t="s">
        <v>104</v>
      </c>
      <c r="E114" s="5">
        <v>2</v>
      </c>
      <c r="F114" s="1">
        <v>2280.33</v>
      </c>
      <c r="G114" s="1">
        <v>4560.6499999999996</v>
      </c>
      <c r="H114" s="33"/>
    </row>
    <row r="115" spans="3:8" x14ac:dyDescent="0.25">
      <c r="C115" s="16">
        <v>7</v>
      </c>
      <c r="D115" s="14" t="s">
        <v>105</v>
      </c>
      <c r="E115" s="5">
        <v>3</v>
      </c>
      <c r="F115" s="12">
        <v>3229.91</v>
      </c>
      <c r="G115" s="1">
        <v>9689.7199999999993</v>
      </c>
      <c r="H115" s="33"/>
    </row>
    <row r="116" spans="3:8" x14ac:dyDescent="0.25">
      <c r="C116" s="16">
        <v>8</v>
      </c>
      <c r="D116" s="14" t="s">
        <v>106</v>
      </c>
      <c r="E116" s="5">
        <v>1</v>
      </c>
      <c r="F116" s="1">
        <v>4862.95</v>
      </c>
      <c r="G116" s="1">
        <v>4862.95</v>
      </c>
      <c r="H116" s="33"/>
    </row>
    <row r="117" spans="3:8" x14ac:dyDescent="0.25">
      <c r="C117" s="16">
        <v>9</v>
      </c>
      <c r="D117" s="14" t="s">
        <v>107</v>
      </c>
      <c r="E117" s="5">
        <v>1</v>
      </c>
      <c r="F117" s="1">
        <v>886.08</v>
      </c>
      <c r="G117" s="1">
        <v>886.08</v>
      </c>
      <c r="H117" s="33"/>
    </row>
    <row r="118" spans="3:8" x14ac:dyDescent="0.25">
      <c r="C118" s="16">
        <v>10</v>
      </c>
      <c r="D118" s="14" t="s">
        <v>108</v>
      </c>
      <c r="E118" s="5">
        <v>2</v>
      </c>
      <c r="F118" s="1">
        <v>1143.6199999999999</v>
      </c>
      <c r="G118" s="1">
        <v>2287.2399999999998</v>
      </c>
      <c r="H118" s="33"/>
    </row>
    <row r="119" spans="3:8" x14ac:dyDescent="0.25">
      <c r="C119" s="16">
        <v>11</v>
      </c>
      <c r="D119" s="14" t="s">
        <v>109</v>
      </c>
      <c r="E119" s="5">
        <v>1</v>
      </c>
      <c r="F119" s="1">
        <v>1542.4</v>
      </c>
      <c r="G119" s="1">
        <v>1542.4</v>
      </c>
      <c r="H119" s="33"/>
    </row>
    <row r="120" spans="3:8" x14ac:dyDescent="0.25">
      <c r="C120" s="16">
        <v>12</v>
      </c>
      <c r="D120" s="14" t="s">
        <v>110</v>
      </c>
      <c r="E120" s="5">
        <v>2</v>
      </c>
      <c r="F120" s="1">
        <v>1292.47</v>
      </c>
      <c r="G120" s="1">
        <v>2584.94</v>
      </c>
      <c r="H120" s="33"/>
    </row>
    <row r="121" spans="3:8" x14ac:dyDescent="0.25">
      <c r="C121" s="16">
        <v>13</v>
      </c>
      <c r="D121" s="14" t="s">
        <v>111</v>
      </c>
      <c r="E121" s="5">
        <v>3</v>
      </c>
      <c r="F121" s="1">
        <v>1336.26</v>
      </c>
      <c r="G121" s="1">
        <v>4008.79</v>
      </c>
      <c r="H121" s="33"/>
    </row>
    <row r="122" spans="3:8" x14ac:dyDescent="0.25">
      <c r="C122" s="16">
        <v>14</v>
      </c>
      <c r="D122" s="14" t="s">
        <v>112</v>
      </c>
      <c r="E122" s="5">
        <v>2</v>
      </c>
      <c r="F122" s="1">
        <v>157.38</v>
      </c>
      <c r="G122" s="1">
        <v>314.75</v>
      </c>
      <c r="H122" s="33"/>
    </row>
    <row r="123" spans="3:8" x14ac:dyDescent="0.25">
      <c r="C123" s="16">
        <v>15</v>
      </c>
      <c r="D123" s="14" t="s">
        <v>113</v>
      </c>
      <c r="E123" s="5">
        <v>1</v>
      </c>
      <c r="F123" s="1">
        <v>565</v>
      </c>
      <c r="G123" s="1">
        <v>565</v>
      </c>
      <c r="H123" s="33"/>
    </row>
    <row r="124" spans="3:8" x14ac:dyDescent="0.25">
      <c r="C124" s="16">
        <v>16</v>
      </c>
      <c r="D124" s="14" t="s">
        <v>114</v>
      </c>
      <c r="E124" s="5">
        <v>1</v>
      </c>
      <c r="F124" s="1">
        <v>1132</v>
      </c>
      <c r="G124" s="1">
        <v>1132</v>
      </c>
      <c r="H124" s="33"/>
    </row>
    <row r="125" spans="3:8" x14ac:dyDescent="0.25">
      <c r="C125" s="16">
        <v>17</v>
      </c>
      <c r="D125" s="14" t="s">
        <v>115</v>
      </c>
      <c r="E125" s="5">
        <v>1</v>
      </c>
      <c r="F125" s="1">
        <v>1419.77</v>
      </c>
      <c r="G125" s="1">
        <v>1419.77</v>
      </c>
      <c r="H125" s="33"/>
    </row>
    <row r="126" spans="3:8" x14ac:dyDescent="0.25">
      <c r="C126" s="16">
        <v>18</v>
      </c>
      <c r="D126" s="14" t="s">
        <v>116</v>
      </c>
      <c r="E126" s="5">
        <v>1</v>
      </c>
      <c r="F126" s="1">
        <v>1419.77</v>
      </c>
      <c r="G126" s="1">
        <v>1419.77</v>
      </c>
      <c r="H126" s="33"/>
    </row>
    <row r="127" spans="3:8" x14ac:dyDescent="0.25">
      <c r="C127" s="16">
        <v>19</v>
      </c>
      <c r="D127" s="14" t="s">
        <v>117</v>
      </c>
      <c r="E127" s="5">
        <v>1</v>
      </c>
      <c r="F127" s="1">
        <v>1653.41</v>
      </c>
      <c r="G127" s="1">
        <v>1653.41</v>
      </c>
      <c r="H127" s="33"/>
    </row>
    <row r="128" spans="3:8" x14ac:dyDescent="0.25">
      <c r="C128" s="16">
        <v>20</v>
      </c>
      <c r="D128" s="14" t="s">
        <v>118</v>
      </c>
      <c r="E128" s="5">
        <v>2</v>
      </c>
      <c r="F128" s="1">
        <v>1626.88</v>
      </c>
      <c r="G128" s="1">
        <v>3253.76</v>
      </c>
      <c r="H128" s="33"/>
    </row>
    <row r="129" spans="3:8" x14ac:dyDescent="0.25">
      <c r="C129" s="16">
        <v>21</v>
      </c>
      <c r="D129" s="14" t="s">
        <v>119</v>
      </c>
      <c r="E129" s="5">
        <v>1</v>
      </c>
      <c r="F129" s="1">
        <v>1419.76</v>
      </c>
      <c r="G129" s="1">
        <v>1419.76</v>
      </c>
      <c r="H129" s="33"/>
    </row>
    <row r="130" spans="3:8" x14ac:dyDescent="0.25">
      <c r="C130" s="16">
        <v>22</v>
      </c>
      <c r="D130" s="14" t="s">
        <v>120</v>
      </c>
      <c r="E130" s="5">
        <v>1</v>
      </c>
      <c r="F130" s="1">
        <v>1555.01</v>
      </c>
      <c r="G130" s="1">
        <v>1555.01</v>
      </c>
      <c r="H130" s="33"/>
    </row>
    <row r="131" spans="3:8" x14ac:dyDescent="0.25">
      <c r="C131" s="16">
        <v>23</v>
      </c>
      <c r="D131" s="14" t="s">
        <v>121</v>
      </c>
      <c r="E131" s="5">
        <v>1</v>
      </c>
      <c r="F131" s="1">
        <v>1285.4100000000001</v>
      </c>
      <c r="G131" s="1">
        <v>1285.4100000000001</v>
      </c>
      <c r="H131" s="33"/>
    </row>
    <row r="132" spans="3:8" x14ac:dyDescent="0.25">
      <c r="C132" s="16">
        <v>24</v>
      </c>
      <c r="D132" s="14" t="s">
        <v>122</v>
      </c>
      <c r="E132" s="5">
        <v>1</v>
      </c>
      <c r="F132" s="1">
        <v>2500</v>
      </c>
      <c r="G132" s="1">
        <v>2500</v>
      </c>
      <c r="H132" s="33"/>
    </row>
    <row r="133" spans="3:8" x14ac:dyDescent="0.25">
      <c r="C133" s="16">
        <v>25</v>
      </c>
      <c r="D133" s="14" t="s">
        <v>123</v>
      </c>
      <c r="E133" s="5">
        <v>1</v>
      </c>
      <c r="F133" s="1">
        <v>5000</v>
      </c>
      <c r="G133" s="1">
        <v>5000</v>
      </c>
      <c r="H133" s="33"/>
    </row>
    <row r="134" spans="3:8" x14ac:dyDescent="0.25">
      <c r="C134" s="16">
        <v>26</v>
      </c>
      <c r="D134" s="14" t="s">
        <v>124</v>
      </c>
      <c r="E134" s="5">
        <v>1</v>
      </c>
      <c r="F134" s="1">
        <v>1000</v>
      </c>
      <c r="G134" s="1">
        <v>1000</v>
      </c>
      <c r="H134" s="33"/>
    </row>
    <row r="135" spans="3:8" x14ac:dyDescent="0.25">
      <c r="C135" s="16">
        <v>27</v>
      </c>
      <c r="D135" s="14" t="s">
        <v>125</v>
      </c>
      <c r="E135" s="5">
        <v>1</v>
      </c>
      <c r="F135" s="1">
        <v>2750</v>
      </c>
      <c r="G135" s="1">
        <v>2750</v>
      </c>
      <c r="H135" s="33"/>
    </row>
    <row r="136" spans="3:8" x14ac:dyDescent="0.25">
      <c r="C136" s="16">
        <v>28</v>
      </c>
      <c r="D136" s="14" t="s">
        <v>126</v>
      </c>
      <c r="E136" s="5">
        <v>1</v>
      </c>
      <c r="F136" s="1">
        <v>1710.99</v>
      </c>
      <c r="G136" s="1">
        <v>1710.99</v>
      </c>
      <c r="H136" s="33"/>
    </row>
    <row r="137" spans="3:8" x14ac:dyDescent="0.25">
      <c r="C137" s="16">
        <v>29</v>
      </c>
      <c r="D137" s="14" t="s">
        <v>127</v>
      </c>
      <c r="E137" s="5">
        <v>1</v>
      </c>
      <c r="F137" s="1">
        <v>2978</v>
      </c>
      <c r="G137" s="1">
        <v>2978</v>
      </c>
      <c r="H137" s="33"/>
    </row>
    <row r="138" spans="3:8" x14ac:dyDescent="0.25">
      <c r="C138" s="16">
        <v>30</v>
      </c>
      <c r="D138" s="14" t="s">
        <v>128</v>
      </c>
      <c r="E138" s="5">
        <v>1</v>
      </c>
      <c r="F138" s="1">
        <v>699.18</v>
      </c>
      <c r="G138" s="1">
        <v>699.18</v>
      </c>
      <c r="H138" s="33"/>
    </row>
    <row r="139" spans="3:8" x14ac:dyDescent="0.25">
      <c r="C139" s="16">
        <v>31</v>
      </c>
      <c r="D139" s="14" t="s">
        <v>129</v>
      </c>
      <c r="E139" s="5">
        <v>1</v>
      </c>
      <c r="F139" s="1">
        <v>1305.9000000000001</v>
      </c>
      <c r="G139" s="1">
        <v>1305.9000000000001</v>
      </c>
      <c r="H139" s="33"/>
    </row>
    <row r="140" spans="3:8" x14ac:dyDescent="0.25">
      <c r="C140" s="16">
        <v>32</v>
      </c>
      <c r="D140" s="14" t="s">
        <v>130</v>
      </c>
      <c r="E140" s="7">
        <v>1</v>
      </c>
      <c r="F140" s="1">
        <v>5590.17</v>
      </c>
      <c r="G140" s="1">
        <v>5590.17</v>
      </c>
      <c r="H140" s="33"/>
    </row>
    <row r="141" spans="3:8" x14ac:dyDescent="0.25">
      <c r="C141" s="16">
        <v>33</v>
      </c>
      <c r="D141" s="14" t="s">
        <v>131</v>
      </c>
      <c r="E141" s="5">
        <v>1</v>
      </c>
      <c r="F141" s="1">
        <v>2750</v>
      </c>
      <c r="G141" s="1">
        <v>2750</v>
      </c>
      <c r="H141" s="33"/>
    </row>
    <row r="142" spans="3:8" x14ac:dyDescent="0.25">
      <c r="C142" s="16">
        <v>34</v>
      </c>
      <c r="D142" s="14" t="s">
        <v>132</v>
      </c>
      <c r="E142" s="5">
        <v>1</v>
      </c>
      <c r="F142" s="1">
        <v>3400</v>
      </c>
      <c r="G142" s="1">
        <v>3400</v>
      </c>
      <c r="H142" s="33"/>
    </row>
    <row r="143" spans="3:8" x14ac:dyDescent="0.25">
      <c r="C143" s="16">
        <v>35</v>
      </c>
      <c r="D143" s="14" t="s">
        <v>133</v>
      </c>
      <c r="E143" s="5">
        <v>1</v>
      </c>
      <c r="F143" s="1">
        <v>6540.8</v>
      </c>
      <c r="G143" s="1">
        <v>6540.8</v>
      </c>
      <c r="H143" s="33"/>
    </row>
    <row r="144" spans="3:8" x14ac:dyDescent="0.25">
      <c r="C144" s="16">
        <v>36</v>
      </c>
      <c r="D144" s="14" t="s">
        <v>134</v>
      </c>
      <c r="E144" s="5">
        <v>1</v>
      </c>
      <c r="F144" s="1">
        <v>513.12</v>
      </c>
      <c r="G144" s="1">
        <v>513.12</v>
      </c>
      <c r="H144" s="33"/>
    </row>
    <row r="145" spans="3:8" x14ac:dyDescent="0.25">
      <c r="C145" s="16">
        <v>37</v>
      </c>
      <c r="D145" s="14" t="s">
        <v>135</v>
      </c>
      <c r="E145" s="5">
        <v>1</v>
      </c>
      <c r="F145" s="1">
        <v>508.77</v>
      </c>
      <c r="G145" s="1">
        <v>508.77</v>
      </c>
      <c r="H145" s="33"/>
    </row>
    <row r="146" spans="3:8" x14ac:dyDescent="0.25">
      <c r="C146" s="16">
        <v>38</v>
      </c>
      <c r="D146" s="14" t="s">
        <v>136</v>
      </c>
      <c r="E146" s="5">
        <v>1</v>
      </c>
      <c r="F146" s="1">
        <v>1962.62</v>
      </c>
      <c r="G146" s="1">
        <v>1962.62</v>
      </c>
      <c r="H146" s="33"/>
    </row>
    <row r="147" spans="3:8" x14ac:dyDescent="0.25">
      <c r="C147" s="16">
        <v>39</v>
      </c>
      <c r="D147" s="14" t="s">
        <v>137</v>
      </c>
      <c r="E147" s="5">
        <v>1</v>
      </c>
      <c r="F147" s="1">
        <v>1962.62</v>
      </c>
      <c r="G147" s="1">
        <v>1962.62</v>
      </c>
      <c r="H147" s="33"/>
    </row>
    <row r="148" spans="3:8" x14ac:dyDescent="0.25">
      <c r="C148" s="16">
        <v>40</v>
      </c>
      <c r="D148" s="14" t="s">
        <v>138</v>
      </c>
      <c r="E148" s="5">
        <v>1</v>
      </c>
      <c r="F148" s="1">
        <v>508.77</v>
      </c>
      <c r="G148" s="1">
        <v>508.77</v>
      </c>
      <c r="H148" s="33"/>
    </row>
    <row r="149" spans="3:8" x14ac:dyDescent="0.25">
      <c r="C149" s="16">
        <v>41</v>
      </c>
      <c r="D149" s="14" t="s">
        <v>139</v>
      </c>
      <c r="E149" s="5">
        <v>2</v>
      </c>
      <c r="F149" s="1">
        <v>4887.0200000000004</v>
      </c>
      <c r="G149" s="1">
        <v>9774.0400000000009</v>
      </c>
      <c r="H149" s="33"/>
    </row>
    <row r="150" spans="3:8" x14ac:dyDescent="0.25">
      <c r="C150" s="16">
        <v>42</v>
      </c>
      <c r="D150" s="14" t="s">
        <v>140</v>
      </c>
      <c r="E150" s="5">
        <v>1</v>
      </c>
      <c r="F150" s="1">
        <v>316.23</v>
      </c>
      <c r="G150" s="1">
        <v>316.23</v>
      </c>
      <c r="H150" s="33"/>
    </row>
    <row r="151" spans="3:8" x14ac:dyDescent="0.25">
      <c r="C151" s="16">
        <v>43</v>
      </c>
      <c r="D151" s="14" t="s">
        <v>141</v>
      </c>
      <c r="E151" s="5">
        <v>2</v>
      </c>
      <c r="F151" s="1">
        <v>296</v>
      </c>
      <c r="G151" s="1">
        <v>592</v>
      </c>
      <c r="H151" s="33"/>
    </row>
    <row r="152" spans="3:8" x14ac:dyDescent="0.25">
      <c r="C152" s="16">
        <v>44</v>
      </c>
      <c r="D152" s="14" t="s">
        <v>142</v>
      </c>
      <c r="E152" s="5">
        <v>1</v>
      </c>
      <c r="F152" s="1">
        <v>296</v>
      </c>
      <c r="G152" s="1">
        <v>296</v>
      </c>
      <c r="H152" s="33"/>
    </row>
    <row r="153" spans="3:8" x14ac:dyDescent="0.25">
      <c r="C153" s="16">
        <v>45</v>
      </c>
      <c r="D153" s="14" t="s">
        <v>143</v>
      </c>
      <c r="E153" s="5">
        <v>1</v>
      </c>
      <c r="F153" s="1">
        <v>593</v>
      </c>
      <c r="G153" s="1">
        <v>593</v>
      </c>
      <c r="H153" s="33"/>
    </row>
    <row r="154" spans="3:8" x14ac:dyDescent="0.25">
      <c r="C154" s="16">
        <v>46</v>
      </c>
      <c r="D154" s="14" t="s">
        <v>144</v>
      </c>
      <c r="E154" s="5">
        <v>3</v>
      </c>
      <c r="F154" s="1">
        <v>1800</v>
      </c>
      <c r="G154" s="1">
        <v>5400</v>
      </c>
      <c r="H154" s="33"/>
    </row>
    <row r="155" spans="3:8" x14ac:dyDescent="0.25">
      <c r="C155" s="16">
        <v>47</v>
      </c>
      <c r="D155" s="14" t="s">
        <v>145</v>
      </c>
      <c r="E155" s="5">
        <v>2</v>
      </c>
      <c r="F155" s="1">
        <v>593</v>
      </c>
      <c r="G155" s="1">
        <v>1186</v>
      </c>
      <c r="H155" s="33"/>
    </row>
    <row r="156" spans="3:8" x14ac:dyDescent="0.25">
      <c r="C156" s="16">
        <v>48</v>
      </c>
      <c r="D156" s="14" t="s">
        <v>146</v>
      </c>
      <c r="E156" s="5">
        <v>2</v>
      </c>
      <c r="F156" s="1">
        <v>600</v>
      </c>
      <c r="G156" s="1">
        <v>1200</v>
      </c>
      <c r="H156" s="33"/>
    </row>
    <row r="157" spans="3:8" x14ac:dyDescent="0.25">
      <c r="C157" s="16">
        <v>49</v>
      </c>
      <c r="D157" s="14" t="s">
        <v>147</v>
      </c>
      <c r="E157" s="4">
        <v>3</v>
      </c>
      <c r="F157" s="1">
        <v>1743.62</v>
      </c>
      <c r="G157" s="1">
        <v>5230.8599999999997</v>
      </c>
      <c r="H157" s="33"/>
    </row>
    <row r="158" spans="3:8" x14ac:dyDescent="0.25">
      <c r="C158" s="16">
        <v>50</v>
      </c>
      <c r="D158" s="14" t="s">
        <v>148</v>
      </c>
      <c r="E158" s="5">
        <v>3</v>
      </c>
      <c r="F158" s="1">
        <v>434.42</v>
      </c>
      <c r="G158" s="1">
        <v>1303.26</v>
      </c>
      <c r="H158" s="33"/>
    </row>
    <row r="159" spans="3:8" x14ac:dyDescent="0.25">
      <c r="C159" s="16">
        <v>51</v>
      </c>
      <c r="D159" s="14" t="s">
        <v>149</v>
      </c>
      <c r="E159" s="5">
        <v>5</v>
      </c>
      <c r="F159" s="1">
        <v>926.33</v>
      </c>
      <c r="G159" s="1">
        <v>4631.67</v>
      </c>
      <c r="H159" s="33"/>
    </row>
    <row r="160" spans="3:8" x14ac:dyDescent="0.25">
      <c r="C160" s="16">
        <v>52</v>
      </c>
      <c r="D160" s="14" t="s">
        <v>150</v>
      </c>
      <c r="E160" s="5">
        <v>3</v>
      </c>
      <c r="F160" s="1">
        <v>770.69</v>
      </c>
      <c r="G160" s="1">
        <v>2312.0700000000002</v>
      </c>
      <c r="H160" s="33"/>
    </row>
    <row r="161" spans="3:8" x14ac:dyDescent="0.25">
      <c r="C161" s="16">
        <v>53</v>
      </c>
      <c r="D161" s="14" t="s">
        <v>151</v>
      </c>
      <c r="E161" s="5">
        <v>2</v>
      </c>
      <c r="F161" s="1">
        <v>1654.05</v>
      </c>
      <c r="G161" s="1">
        <v>3308.09</v>
      </c>
      <c r="H161" s="33"/>
    </row>
    <row r="162" spans="3:8" x14ac:dyDescent="0.25">
      <c r="C162" s="16">
        <v>54</v>
      </c>
      <c r="D162" s="14" t="s">
        <v>152</v>
      </c>
      <c r="E162" s="5">
        <v>3</v>
      </c>
      <c r="F162" s="1">
        <v>1545.04</v>
      </c>
      <c r="G162" s="1">
        <v>4635.12</v>
      </c>
      <c r="H162" s="33"/>
    </row>
    <row r="163" spans="3:8" x14ac:dyDescent="0.25">
      <c r="C163" s="16">
        <v>55</v>
      </c>
      <c r="D163" s="14" t="s">
        <v>153</v>
      </c>
      <c r="E163" s="5">
        <v>1</v>
      </c>
      <c r="F163" s="1">
        <v>379.87</v>
      </c>
      <c r="G163" s="1">
        <v>379.87</v>
      </c>
      <c r="H163" s="33"/>
    </row>
    <row r="164" spans="3:8" x14ac:dyDescent="0.25">
      <c r="C164" s="16">
        <v>56</v>
      </c>
      <c r="D164" s="14" t="s">
        <v>154</v>
      </c>
      <c r="E164" s="5">
        <v>1</v>
      </c>
      <c r="F164" s="1">
        <v>1108.29</v>
      </c>
      <c r="G164" s="1">
        <v>1108.29</v>
      </c>
      <c r="H164" s="33"/>
    </row>
    <row r="165" spans="3:8" x14ac:dyDescent="0.25">
      <c r="C165" s="16">
        <v>57</v>
      </c>
      <c r="D165" s="14" t="s">
        <v>155</v>
      </c>
      <c r="E165" s="5">
        <v>1</v>
      </c>
      <c r="F165" s="1">
        <v>770.71</v>
      </c>
      <c r="G165" s="1">
        <v>770.71</v>
      </c>
      <c r="H165" s="33"/>
    </row>
    <row r="166" spans="3:8" x14ac:dyDescent="0.25">
      <c r="C166" s="16">
        <v>58</v>
      </c>
      <c r="D166" s="14" t="s">
        <v>156</v>
      </c>
      <c r="E166" s="5">
        <v>1</v>
      </c>
      <c r="F166" s="1">
        <v>1294.83</v>
      </c>
      <c r="G166" s="1">
        <v>1294.83</v>
      </c>
      <c r="H166" s="33"/>
    </row>
    <row r="167" spans="3:8" x14ac:dyDescent="0.25">
      <c r="C167" s="16">
        <v>59</v>
      </c>
      <c r="D167" s="14" t="s">
        <v>157</v>
      </c>
      <c r="E167" s="5">
        <v>2</v>
      </c>
      <c r="F167" s="1">
        <v>1222.26</v>
      </c>
      <c r="G167" s="1">
        <v>2444.52</v>
      </c>
      <c r="H167" s="33"/>
    </row>
    <row r="168" spans="3:8" x14ac:dyDescent="0.25">
      <c r="C168" s="16">
        <v>60</v>
      </c>
      <c r="D168" s="14" t="s">
        <v>158</v>
      </c>
      <c r="E168" s="5">
        <v>1</v>
      </c>
      <c r="F168" s="1">
        <v>789.5</v>
      </c>
      <c r="G168" s="1">
        <v>789.5</v>
      </c>
      <c r="H168" s="33"/>
    </row>
    <row r="169" spans="3:8" x14ac:dyDescent="0.25">
      <c r="C169" s="16">
        <v>61</v>
      </c>
      <c r="D169" s="14" t="s">
        <v>159</v>
      </c>
      <c r="E169" s="5">
        <v>2</v>
      </c>
      <c r="F169" s="1">
        <v>1146.25</v>
      </c>
      <c r="G169" s="1">
        <v>2292.4899999999998</v>
      </c>
      <c r="H169" s="33"/>
    </row>
    <row r="170" spans="3:8" x14ac:dyDescent="0.25">
      <c r="C170" s="16">
        <v>62</v>
      </c>
      <c r="D170" s="14" t="s">
        <v>160</v>
      </c>
      <c r="E170" s="5">
        <v>1</v>
      </c>
      <c r="F170" s="1">
        <v>3000</v>
      </c>
      <c r="G170" s="1">
        <v>3000</v>
      </c>
      <c r="H170" s="33"/>
    </row>
    <row r="171" spans="3:8" x14ac:dyDescent="0.25">
      <c r="C171" s="16">
        <v>63</v>
      </c>
      <c r="D171" s="14" t="s">
        <v>161</v>
      </c>
      <c r="E171" s="5">
        <v>1</v>
      </c>
      <c r="F171" s="1">
        <v>3915.86</v>
      </c>
      <c r="G171" s="1">
        <v>3915.86</v>
      </c>
      <c r="H171" s="33"/>
    </row>
    <row r="172" spans="3:8" x14ac:dyDescent="0.25">
      <c r="C172" s="16">
        <v>64</v>
      </c>
      <c r="D172" s="14" t="s">
        <v>162</v>
      </c>
      <c r="E172" s="5">
        <v>1</v>
      </c>
      <c r="F172" s="1">
        <v>4994.3999999999996</v>
      </c>
      <c r="G172" s="1">
        <v>4994.3999999999996</v>
      </c>
      <c r="H172" s="33"/>
    </row>
    <row r="173" spans="3:8" x14ac:dyDescent="0.25">
      <c r="C173" s="16">
        <v>65</v>
      </c>
      <c r="D173" s="14" t="s">
        <v>163</v>
      </c>
      <c r="E173" s="5">
        <v>1</v>
      </c>
      <c r="F173" s="1">
        <v>3915.86</v>
      </c>
      <c r="G173" s="1">
        <v>3915.86</v>
      </c>
      <c r="H173" s="33"/>
    </row>
    <row r="174" spans="3:8" x14ac:dyDescent="0.25">
      <c r="C174" s="16">
        <v>66</v>
      </c>
      <c r="D174" s="14" t="s">
        <v>164</v>
      </c>
      <c r="E174" s="5">
        <v>2</v>
      </c>
      <c r="F174" s="1">
        <v>1089.3499999999999</v>
      </c>
      <c r="G174" s="1">
        <v>2178.69</v>
      </c>
      <c r="H174" s="33"/>
    </row>
    <row r="175" spans="3:8" x14ac:dyDescent="0.25">
      <c r="C175" s="16">
        <v>67</v>
      </c>
      <c r="D175" s="14" t="s">
        <v>165</v>
      </c>
      <c r="E175" s="5">
        <v>3</v>
      </c>
      <c r="F175" s="1">
        <v>3368.12</v>
      </c>
      <c r="G175" s="1">
        <v>10104.370000000001</v>
      </c>
      <c r="H175" s="33"/>
    </row>
    <row r="176" spans="3:8" x14ac:dyDescent="0.25">
      <c r="C176" s="16">
        <v>68</v>
      </c>
      <c r="D176" s="14" t="s">
        <v>166</v>
      </c>
      <c r="E176" s="5">
        <v>1</v>
      </c>
      <c r="F176" s="1">
        <v>696.58</v>
      </c>
      <c r="G176" s="1">
        <v>696.58</v>
      </c>
      <c r="H176" s="33"/>
    </row>
    <row r="177" spans="2:8" x14ac:dyDescent="0.25">
      <c r="C177" s="16">
        <v>69</v>
      </c>
      <c r="D177" s="14" t="s">
        <v>167</v>
      </c>
      <c r="E177" s="5">
        <v>1</v>
      </c>
      <c r="F177" s="1">
        <v>51.88</v>
      </c>
      <c r="G177" s="1">
        <v>51.88</v>
      </c>
      <c r="H177" s="33"/>
    </row>
    <row r="178" spans="2:8" x14ac:dyDescent="0.25">
      <c r="C178" s="16">
        <v>70</v>
      </c>
      <c r="D178" s="14" t="s">
        <v>168</v>
      </c>
      <c r="E178" s="5">
        <v>1</v>
      </c>
      <c r="F178" s="1">
        <v>93.37</v>
      </c>
      <c r="G178" s="1">
        <v>93.37</v>
      </c>
      <c r="H178" s="33"/>
    </row>
    <row r="179" spans="2:8" x14ac:dyDescent="0.25">
      <c r="C179" s="16">
        <v>71</v>
      </c>
      <c r="D179" s="14" t="s">
        <v>169</v>
      </c>
      <c r="E179" s="5">
        <v>1</v>
      </c>
      <c r="F179" s="1">
        <v>93.37</v>
      </c>
      <c r="G179" s="1">
        <v>93.37</v>
      </c>
      <c r="H179" s="33"/>
    </row>
    <row r="180" spans="2:8" x14ac:dyDescent="0.25">
      <c r="C180" s="16">
        <v>72</v>
      </c>
      <c r="D180" s="14" t="s">
        <v>170</v>
      </c>
      <c r="E180" s="5">
        <v>1</v>
      </c>
      <c r="F180" s="1">
        <v>90.73</v>
      </c>
      <c r="G180" s="1">
        <v>90.73</v>
      </c>
      <c r="H180" s="33"/>
    </row>
    <row r="181" spans="2:8" x14ac:dyDescent="0.25">
      <c r="D181" s="3"/>
      <c r="E181" s="5"/>
      <c r="F181" s="1"/>
      <c r="G181" s="1"/>
      <c r="H181" s="33"/>
    </row>
    <row r="182" spans="2:8" x14ac:dyDescent="0.25">
      <c r="B182" s="20" t="s">
        <v>245</v>
      </c>
      <c r="C182" s="21"/>
      <c r="D182" s="22" t="s">
        <v>171</v>
      </c>
      <c r="E182" s="29"/>
      <c r="F182" s="27"/>
      <c r="G182" s="28"/>
      <c r="H182" s="32">
        <f>SUM(G183:G199)</f>
        <v>17648.53</v>
      </c>
    </row>
    <row r="183" spans="2:8" x14ac:dyDescent="0.25">
      <c r="C183" s="16">
        <v>1</v>
      </c>
      <c r="D183" s="14" t="s">
        <v>172</v>
      </c>
      <c r="E183" s="5">
        <v>1</v>
      </c>
      <c r="F183" s="1">
        <v>4610</v>
      </c>
      <c r="G183" s="1">
        <v>4610</v>
      </c>
      <c r="H183" s="33"/>
    </row>
    <row r="184" spans="2:8" x14ac:dyDescent="0.25">
      <c r="C184" s="16">
        <v>2</v>
      </c>
      <c r="D184" s="14" t="s">
        <v>173</v>
      </c>
      <c r="E184" s="5">
        <v>1</v>
      </c>
      <c r="F184" s="1">
        <v>5252</v>
      </c>
      <c r="G184" s="1">
        <v>5252</v>
      </c>
      <c r="H184" s="33"/>
    </row>
    <row r="185" spans="2:8" x14ac:dyDescent="0.25">
      <c r="C185" s="16">
        <v>3</v>
      </c>
      <c r="D185" s="14" t="s">
        <v>174</v>
      </c>
      <c r="E185" s="5">
        <v>1</v>
      </c>
      <c r="F185" s="1">
        <v>194.88</v>
      </c>
      <c r="G185" s="1">
        <v>194.88</v>
      </c>
      <c r="H185" s="33"/>
    </row>
    <row r="186" spans="2:8" x14ac:dyDescent="0.25">
      <c r="C186" s="16">
        <v>4</v>
      </c>
      <c r="D186" s="14" t="s">
        <v>175</v>
      </c>
      <c r="E186" s="5">
        <v>2</v>
      </c>
      <c r="F186" s="1">
        <v>185</v>
      </c>
      <c r="G186" s="1">
        <v>370</v>
      </c>
      <c r="H186" s="33"/>
    </row>
    <row r="187" spans="2:8" x14ac:dyDescent="0.25">
      <c r="C187" s="16">
        <v>5</v>
      </c>
      <c r="D187" s="14" t="s">
        <v>176</v>
      </c>
      <c r="E187" s="5">
        <v>1</v>
      </c>
      <c r="F187" s="1">
        <v>299.79000000000002</v>
      </c>
      <c r="G187" s="1">
        <v>299.79000000000002</v>
      </c>
      <c r="H187" s="33"/>
    </row>
    <row r="188" spans="2:8" x14ac:dyDescent="0.25">
      <c r="C188" s="16">
        <v>6</v>
      </c>
      <c r="D188" s="14" t="s">
        <v>177</v>
      </c>
      <c r="E188" s="5">
        <v>2</v>
      </c>
      <c r="F188" s="1">
        <v>218</v>
      </c>
      <c r="G188" s="1">
        <v>436</v>
      </c>
      <c r="H188" s="33"/>
    </row>
    <row r="189" spans="2:8" x14ac:dyDescent="0.25">
      <c r="C189" s="16">
        <v>7</v>
      </c>
      <c r="D189" s="14" t="s">
        <v>178</v>
      </c>
      <c r="E189" s="5">
        <v>2</v>
      </c>
      <c r="F189" s="1">
        <v>307</v>
      </c>
      <c r="G189" s="1">
        <v>614</v>
      </c>
      <c r="H189" s="33"/>
    </row>
    <row r="190" spans="2:8" x14ac:dyDescent="0.25">
      <c r="C190" s="16">
        <v>8</v>
      </c>
      <c r="D190" s="14" t="s">
        <v>179</v>
      </c>
      <c r="E190" s="5">
        <v>2</v>
      </c>
      <c r="F190" s="12">
        <v>369</v>
      </c>
      <c r="G190" s="1">
        <v>738</v>
      </c>
      <c r="H190" s="33"/>
    </row>
    <row r="191" spans="2:8" x14ac:dyDescent="0.25">
      <c r="C191" s="16">
        <v>9</v>
      </c>
      <c r="D191" s="14" t="s">
        <v>180</v>
      </c>
      <c r="E191" s="5">
        <v>1</v>
      </c>
      <c r="F191" s="1">
        <v>1126.4000000000001</v>
      </c>
      <c r="G191" s="1">
        <v>1126.4000000000001</v>
      </c>
      <c r="H191" s="33"/>
    </row>
    <row r="192" spans="2:8" x14ac:dyDescent="0.25">
      <c r="C192" s="16">
        <v>10</v>
      </c>
      <c r="D192" s="14" t="s">
        <v>181</v>
      </c>
      <c r="E192" s="5">
        <v>1</v>
      </c>
      <c r="F192" s="1">
        <v>259.83999999999997</v>
      </c>
      <c r="G192" s="1">
        <v>259.83999999999997</v>
      </c>
      <c r="H192" s="33"/>
    </row>
    <row r="193" spans="2:8" x14ac:dyDescent="0.25">
      <c r="C193" s="16">
        <v>11</v>
      </c>
      <c r="D193" s="14" t="s">
        <v>182</v>
      </c>
      <c r="E193" s="5">
        <v>1</v>
      </c>
      <c r="F193" s="1">
        <v>112</v>
      </c>
      <c r="G193" s="1">
        <v>112</v>
      </c>
      <c r="H193" s="33"/>
    </row>
    <row r="194" spans="2:8" x14ac:dyDescent="0.25">
      <c r="C194" s="16">
        <v>12</v>
      </c>
      <c r="D194" s="14" t="s">
        <v>183</v>
      </c>
      <c r="E194" s="5">
        <v>1</v>
      </c>
      <c r="F194" s="1">
        <v>184.82</v>
      </c>
      <c r="G194" s="1">
        <v>184.82</v>
      </c>
      <c r="H194" s="33"/>
    </row>
    <row r="195" spans="2:8" x14ac:dyDescent="0.25">
      <c r="C195" s="16">
        <v>13</v>
      </c>
      <c r="D195" s="14" t="s">
        <v>184</v>
      </c>
      <c r="E195" s="5">
        <v>1</v>
      </c>
      <c r="F195" s="1">
        <v>139</v>
      </c>
      <c r="G195" s="1">
        <v>139</v>
      </c>
      <c r="H195" s="33"/>
    </row>
    <row r="196" spans="2:8" x14ac:dyDescent="0.25">
      <c r="C196" s="16">
        <v>14</v>
      </c>
      <c r="D196" s="14" t="s">
        <v>185</v>
      </c>
      <c r="E196" s="5">
        <v>1</v>
      </c>
      <c r="F196" s="1">
        <v>214</v>
      </c>
      <c r="G196" s="1">
        <v>214</v>
      </c>
      <c r="H196" s="33"/>
    </row>
    <row r="197" spans="2:8" x14ac:dyDescent="0.25">
      <c r="C197" s="16">
        <v>15</v>
      </c>
      <c r="D197" s="14" t="s">
        <v>186</v>
      </c>
      <c r="E197" s="5">
        <v>4</v>
      </c>
      <c r="F197" s="1">
        <v>564.95000000000005</v>
      </c>
      <c r="G197" s="1">
        <v>2259.8000000000002</v>
      </c>
      <c r="H197" s="33"/>
    </row>
    <row r="198" spans="2:8" x14ac:dyDescent="0.25">
      <c r="C198" s="16">
        <v>16</v>
      </c>
      <c r="D198" s="14" t="s">
        <v>187</v>
      </c>
      <c r="E198" s="5">
        <v>2</v>
      </c>
      <c r="F198" s="1">
        <v>142</v>
      </c>
      <c r="G198" s="1">
        <v>284</v>
      </c>
      <c r="H198" s="33"/>
    </row>
    <row r="199" spans="2:8" ht="15.75" customHeight="1" x14ac:dyDescent="0.25">
      <c r="C199" s="16">
        <v>17</v>
      </c>
      <c r="D199" s="15" t="s">
        <v>188</v>
      </c>
      <c r="E199" s="5">
        <v>2</v>
      </c>
      <c r="F199" s="1">
        <v>277</v>
      </c>
      <c r="G199" s="1">
        <v>554</v>
      </c>
      <c r="H199" s="33"/>
    </row>
    <row r="200" spans="2:8" x14ac:dyDescent="0.25">
      <c r="B200" s="20" t="s">
        <v>243</v>
      </c>
      <c r="C200" s="21"/>
      <c r="D200" s="22" t="s">
        <v>189</v>
      </c>
      <c r="E200" s="23"/>
      <c r="F200" s="24"/>
      <c r="G200" s="28"/>
      <c r="H200" s="32">
        <f>SUM(G201:G203)</f>
        <v>27800.410000000003</v>
      </c>
    </row>
    <row r="201" spans="2:8" x14ac:dyDescent="0.25">
      <c r="C201" s="16">
        <v>1</v>
      </c>
      <c r="D201" s="14" t="s">
        <v>190</v>
      </c>
      <c r="E201" s="6">
        <v>1</v>
      </c>
      <c r="F201" s="1">
        <v>5301.51</v>
      </c>
      <c r="G201" s="1">
        <v>5301.51</v>
      </c>
      <c r="H201" s="33"/>
    </row>
    <row r="202" spans="2:8" x14ac:dyDescent="0.25">
      <c r="C202" s="16">
        <v>2</v>
      </c>
      <c r="D202" s="14" t="s">
        <v>191</v>
      </c>
      <c r="E202" s="6">
        <v>5</v>
      </c>
      <c r="F202" s="1">
        <v>4340.58</v>
      </c>
      <c r="G202" s="1">
        <v>21702.9</v>
      </c>
      <c r="H202" s="33"/>
    </row>
    <row r="203" spans="2:8" x14ac:dyDescent="0.25">
      <c r="C203" s="16">
        <v>3</v>
      </c>
      <c r="D203" s="14" t="s">
        <v>192</v>
      </c>
      <c r="E203" s="6">
        <v>10</v>
      </c>
      <c r="F203" s="1">
        <v>79.599999999999994</v>
      </c>
      <c r="G203" s="1">
        <v>796</v>
      </c>
      <c r="H203" s="33"/>
    </row>
    <row r="204" spans="2:8" x14ac:dyDescent="0.25">
      <c r="D204" s="3"/>
      <c r="E204" s="6"/>
      <c r="F204" s="1"/>
      <c r="G204" s="1"/>
      <c r="H204" s="33"/>
    </row>
    <row r="205" spans="2:8" x14ac:dyDescent="0.25">
      <c r="B205" s="20" t="s">
        <v>244</v>
      </c>
      <c r="C205" s="21"/>
      <c r="D205" s="22" t="s">
        <v>193</v>
      </c>
      <c r="E205" s="29"/>
      <c r="F205" s="27"/>
      <c r="G205" s="28"/>
      <c r="H205" s="32">
        <f>SUM(G206:G209)</f>
        <v>517123.25</v>
      </c>
    </row>
    <row r="206" spans="2:8" x14ac:dyDescent="0.25">
      <c r="C206" s="16">
        <v>1</v>
      </c>
      <c r="D206" s="14" t="s">
        <v>194</v>
      </c>
      <c r="E206" s="5">
        <v>674</v>
      </c>
      <c r="F206" s="1">
        <v>158.06</v>
      </c>
      <c r="G206" s="1">
        <v>106531.97</v>
      </c>
      <c r="H206" s="33"/>
    </row>
    <row r="207" spans="2:8" x14ac:dyDescent="0.25">
      <c r="C207" s="16">
        <v>2</v>
      </c>
      <c r="D207" s="14" t="s">
        <v>195</v>
      </c>
      <c r="E207" s="5">
        <v>1906</v>
      </c>
      <c r="F207" s="1">
        <v>158.06</v>
      </c>
      <c r="G207" s="1">
        <v>301261.06</v>
      </c>
      <c r="H207" s="33"/>
    </row>
    <row r="208" spans="2:8" x14ac:dyDescent="0.25">
      <c r="C208" s="16">
        <v>3</v>
      </c>
      <c r="D208" s="15" t="s">
        <v>196</v>
      </c>
      <c r="E208" s="5">
        <v>1710</v>
      </c>
      <c r="F208" s="1">
        <v>56.59</v>
      </c>
      <c r="G208" s="1">
        <v>96767.43</v>
      </c>
      <c r="H208" s="33"/>
    </row>
    <row r="209" spans="2:8" x14ac:dyDescent="0.25">
      <c r="D209" s="15" t="s">
        <v>197</v>
      </c>
      <c r="E209" s="5">
        <v>222</v>
      </c>
      <c r="F209" s="1">
        <v>56.59</v>
      </c>
      <c r="G209" s="1">
        <v>12562.79</v>
      </c>
      <c r="H209" s="33"/>
    </row>
    <row r="210" spans="2:8" x14ac:dyDescent="0.25">
      <c r="D210" s="9"/>
      <c r="E210" s="5"/>
      <c r="F210" s="1"/>
      <c r="G210" s="1"/>
      <c r="H210" s="33"/>
    </row>
    <row r="211" spans="2:8" x14ac:dyDescent="0.25">
      <c r="B211" s="20" t="s">
        <v>242</v>
      </c>
      <c r="C211" s="21"/>
      <c r="D211" s="30" t="s">
        <v>198</v>
      </c>
      <c r="E211" s="31"/>
      <c r="F211" s="27"/>
      <c r="G211" s="28"/>
      <c r="H211" s="32">
        <f>SUM(G212:G226)</f>
        <v>248616.63</v>
      </c>
    </row>
    <row r="212" spans="2:8" x14ac:dyDescent="0.25">
      <c r="C212" s="16">
        <v>1</v>
      </c>
      <c r="D212" s="14" t="s">
        <v>199</v>
      </c>
      <c r="E212" s="8">
        <v>2592</v>
      </c>
      <c r="F212" s="1">
        <v>5.74</v>
      </c>
      <c r="G212" s="1">
        <v>14885.78</v>
      </c>
      <c r="H212" s="33"/>
    </row>
    <row r="213" spans="2:8" x14ac:dyDescent="0.25">
      <c r="C213" s="16">
        <v>2</v>
      </c>
      <c r="D213" s="14" t="s">
        <v>200</v>
      </c>
      <c r="E213" s="8">
        <v>1008</v>
      </c>
      <c r="F213" s="1">
        <v>5.74</v>
      </c>
      <c r="G213" s="1">
        <v>5788.89</v>
      </c>
      <c r="H213" s="33"/>
    </row>
    <row r="214" spans="2:8" x14ac:dyDescent="0.25">
      <c r="C214" s="16">
        <v>3</v>
      </c>
      <c r="D214" s="14" t="s">
        <v>201</v>
      </c>
      <c r="E214" s="8">
        <v>1440</v>
      </c>
      <c r="F214" s="1">
        <v>5.74</v>
      </c>
      <c r="G214" s="1">
        <v>8269.8799999999992</v>
      </c>
      <c r="H214" s="33"/>
    </row>
    <row r="215" spans="2:8" x14ac:dyDescent="0.25">
      <c r="C215" s="16">
        <v>4</v>
      </c>
      <c r="D215" s="14" t="s">
        <v>202</v>
      </c>
      <c r="E215" s="8">
        <v>1750</v>
      </c>
      <c r="F215" s="1">
        <v>0.73</v>
      </c>
      <c r="G215" s="1">
        <v>1283.6600000000001</v>
      </c>
      <c r="H215" s="33"/>
    </row>
    <row r="216" spans="2:8" x14ac:dyDescent="0.25">
      <c r="C216" s="16">
        <v>5</v>
      </c>
      <c r="D216" s="14" t="s">
        <v>203</v>
      </c>
      <c r="E216" s="8">
        <v>120</v>
      </c>
      <c r="F216" s="1">
        <v>3.39</v>
      </c>
      <c r="G216" s="1">
        <v>406.73</v>
      </c>
      <c r="H216" s="33"/>
    </row>
    <row r="217" spans="2:8" x14ac:dyDescent="0.25">
      <c r="C217" s="16">
        <v>6</v>
      </c>
      <c r="D217" s="14" t="s">
        <v>204</v>
      </c>
      <c r="E217" s="8">
        <v>7532</v>
      </c>
      <c r="F217" s="1">
        <v>3.93</v>
      </c>
      <c r="G217" s="1">
        <v>29613.72</v>
      </c>
      <c r="H217" s="33"/>
    </row>
    <row r="218" spans="2:8" x14ac:dyDescent="0.25">
      <c r="C218" s="16">
        <v>7</v>
      </c>
      <c r="D218" s="14" t="s">
        <v>205</v>
      </c>
      <c r="E218" s="8">
        <v>4608</v>
      </c>
      <c r="F218" s="1">
        <v>3.93</v>
      </c>
      <c r="G218" s="1">
        <v>18117.37</v>
      </c>
      <c r="H218" s="33"/>
    </row>
    <row r="219" spans="2:8" x14ac:dyDescent="0.25">
      <c r="C219" s="16">
        <v>8</v>
      </c>
      <c r="D219" s="14" t="s">
        <v>206</v>
      </c>
      <c r="E219" s="8">
        <v>3024</v>
      </c>
      <c r="F219" s="1">
        <v>3.98</v>
      </c>
      <c r="G219" s="1">
        <v>12023.06</v>
      </c>
      <c r="H219" s="33"/>
    </row>
    <row r="220" spans="2:8" x14ac:dyDescent="0.25">
      <c r="C220" s="16">
        <v>9</v>
      </c>
      <c r="D220" s="14" t="s">
        <v>207</v>
      </c>
      <c r="E220" s="8">
        <v>2520</v>
      </c>
      <c r="F220" s="1">
        <v>21.27</v>
      </c>
      <c r="G220" s="1">
        <v>53595.26</v>
      </c>
      <c r="H220" s="33"/>
    </row>
    <row r="221" spans="2:8" x14ac:dyDescent="0.25">
      <c r="C221" s="16">
        <v>10</v>
      </c>
      <c r="D221" s="14" t="s">
        <v>208</v>
      </c>
      <c r="E221" s="8">
        <v>504</v>
      </c>
      <c r="F221" s="1">
        <v>21.27</v>
      </c>
      <c r="G221" s="1">
        <v>10719.06</v>
      </c>
      <c r="H221" s="33"/>
    </row>
    <row r="222" spans="2:8" x14ac:dyDescent="0.25">
      <c r="C222" s="16">
        <v>11</v>
      </c>
      <c r="D222" s="14" t="s">
        <v>209</v>
      </c>
      <c r="E222" s="8">
        <v>1512</v>
      </c>
      <c r="F222" s="1">
        <v>21.27</v>
      </c>
      <c r="G222" s="1">
        <v>32157.16</v>
      </c>
      <c r="H222" s="33"/>
    </row>
    <row r="223" spans="2:8" x14ac:dyDescent="0.25">
      <c r="C223" s="16">
        <v>12</v>
      </c>
      <c r="D223" s="14" t="s">
        <v>210</v>
      </c>
      <c r="E223" s="8">
        <v>468</v>
      </c>
      <c r="F223" s="1">
        <v>21.27</v>
      </c>
      <c r="G223" s="1">
        <v>9953.41</v>
      </c>
      <c r="H223" s="33"/>
    </row>
    <row r="224" spans="2:8" x14ac:dyDescent="0.25">
      <c r="C224" s="16">
        <v>13</v>
      </c>
      <c r="D224" s="14" t="s">
        <v>211</v>
      </c>
      <c r="E224" s="8">
        <v>2050</v>
      </c>
      <c r="F224" s="1">
        <v>7.06</v>
      </c>
      <c r="G224" s="1">
        <v>14469.06</v>
      </c>
      <c r="H224" s="33"/>
    </row>
    <row r="225" spans="2:8" x14ac:dyDescent="0.25">
      <c r="C225" s="16">
        <v>14</v>
      </c>
      <c r="D225" s="14" t="s">
        <v>212</v>
      </c>
      <c r="E225" s="8">
        <v>3260</v>
      </c>
      <c r="F225" s="1">
        <v>7.75</v>
      </c>
      <c r="G225" s="1">
        <v>25270.38</v>
      </c>
      <c r="H225" s="33"/>
    </row>
    <row r="226" spans="2:8" x14ac:dyDescent="0.25">
      <c r="C226" s="16">
        <v>15</v>
      </c>
      <c r="D226" s="14" t="s">
        <v>213</v>
      </c>
      <c r="E226" s="8">
        <v>1344</v>
      </c>
      <c r="F226" s="1">
        <v>8.98</v>
      </c>
      <c r="G226" s="1">
        <v>12063.21</v>
      </c>
      <c r="H226" s="33"/>
    </row>
    <row r="227" spans="2:8" x14ac:dyDescent="0.25">
      <c r="D227" s="3"/>
      <c r="E227" s="8"/>
      <c r="F227" s="1"/>
      <c r="G227" s="1"/>
      <c r="H227" s="33"/>
    </row>
    <row r="228" spans="2:8" x14ac:dyDescent="0.25">
      <c r="B228" s="20" t="s">
        <v>249</v>
      </c>
      <c r="C228" s="21"/>
      <c r="D228" s="22" t="s">
        <v>214</v>
      </c>
      <c r="E228" s="23"/>
      <c r="F228" s="24"/>
      <c r="G228" s="28"/>
      <c r="H228" s="32">
        <f>SUM(G229:G246)</f>
        <v>16817.239999999998</v>
      </c>
    </row>
    <row r="229" spans="2:8" x14ac:dyDescent="0.25">
      <c r="C229" s="16">
        <v>1</v>
      </c>
      <c r="D229" s="14" t="s">
        <v>215</v>
      </c>
      <c r="E229" s="8">
        <v>7</v>
      </c>
      <c r="F229" s="1">
        <v>155.36000000000001</v>
      </c>
      <c r="G229" s="1">
        <v>1087.49</v>
      </c>
      <c r="H229" s="33"/>
    </row>
    <row r="230" spans="2:8" x14ac:dyDescent="0.25">
      <c r="C230" s="16">
        <v>2</v>
      </c>
      <c r="D230" s="14" t="s">
        <v>216</v>
      </c>
      <c r="E230" s="8">
        <v>3</v>
      </c>
      <c r="F230" s="1">
        <v>157.96</v>
      </c>
      <c r="G230" s="1">
        <v>473.88</v>
      </c>
      <c r="H230" s="33"/>
    </row>
    <row r="231" spans="2:8" x14ac:dyDescent="0.25">
      <c r="C231" s="16">
        <v>3</v>
      </c>
      <c r="D231" s="14" t="s">
        <v>217</v>
      </c>
      <c r="E231" s="8">
        <v>5</v>
      </c>
      <c r="F231" s="1">
        <v>155.07</v>
      </c>
      <c r="G231" s="1">
        <v>775.34</v>
      </c>
      <c r="H231" s="33"/>
    </row>
    <row r="232" spans="2:8" x14ac:dyDescent="0.25">
      <c r="C232" s="16">
        <v>4</v>
      </c>
      <c r="D232" s="14" t="s">
        <v>218</v>
      </c>
      <c r="E232" s="8">
        <v>14</v>
      </c>
      <c r="F232" s="1">
        <v>154.9</v>
      </c>
      <c r="G232" s="1">
        <v>2168.5500000000002</v>
      </c>
      <c r="H232" s="33"/>
    </row>
    <row r="233" spans="2:8" x14ac:dyDescent="0.25">
      <c r="C233" s="16">
        <v>5</v>
      </c>
      <c r="D233" s="14" t="s">
        <v>219</v>
      </c>
      <c r="E233" s="8">
        <v>7</v>
      </c>
      <c r="F233" s="1">
        <v>154.71</v>
      </c>
      <c r="G233" s="1">
        <v>1082.94</v>
      </c>
      <c r="H233" s="33"/>
    </row>
    <row r="234" spans="2:8" x14ac:dyDescent="0.25">
      <c r="C234" s="16">
        <v>6</v>
      </c>
      <c r="D234" s="14" t="s">
        <v>220</v>
      </c>
      <c r="E234" s="8">
        <v>3</v>
      </c>
      <c r="F234" s="1">
        <v>154.41</v>
      </c>
      <c r="G234" s="1">
        <v>463.23</v>
      </c>
      <c r="H234" s="33"/>
    </row>
    <row r="235" spans="2:8" x14ac:dyDescent="0.25">
      <c r="C235" s="16">
        <v>7</v>
      </c>
      <c r="D235" s="14" t="s">
        <v>221</v>
      </c>
      <c r="E235" s="8">
        <v>10</v>
      </c>
      <c r="F235" s="1">
        <v>154.05000000000001</v>
      </c>
      <c r="G235" s="1">
        <v>1540.54</v>
      </c>
      <c r="H235" s="33"/>
    </row>
    <row r="236" spans="2:8" x14ac:dyDescent="0.25">
      <c r="C236" s="16">
        <v>8</v>
      </c>
      <c r="D236" s="14" t="s">
        <v>222</v>
      </c>
      <c r="E236" s="8">
        <v>2</v>
      </c>
      <c r="F236" s="1">
        <v>157.96</v>
      </c>
      <c r="G236" s="1">
        <v>315.92</v>
      </c>
      <c r="H236" s="33"/>
    </row>
    <row r="237" spans="2:8" x14ac:dyDescent="0.25">
      <c r="C237" s="16">
        <v>9</v>
      </c>
      <c r="D237" s="14" t="s">
        <v>223</v>
      </c>
      <c r="E237" s="8">
        <v>2</v>
      </c>
      <c r="F237" s="1">
        <v>157.96</v>
      </c>
      <c r="G237" s="1">
        <v>315.92</v>
      </c>
      <c r="H237" s="33"/>
    </row>
    <row r="238" spans="2:8" x14ac:dyDescent="0.25">
      <c r="C238" s="16">
        <v>10</v>
      </c>
      <c r="D238" s="14" t="s">
        <v>224</v>
      </c>
      <c r="E238" s="8">
        <v>4</v>
      </c>
      <c r="F238" s="1">
        <v>157.96</v>
      </c>
      <c r="G238" s="1">
        <v>631.84</v>
      </c>
      <c r="H238" s="33"/>
    </row>
    <row r="239" spans="2:8" x14ac:dyDescent="0.25">
      <c r="C239" s="16">
        <v>11</v>
      </c>
      <c r="D239" s="14" t="s">
        <v>225</v>
      </c>
      <c r="E239" s="8">
        <v>6</v>
      </c>
      <c r="F239" s="12">
        <v>153.62</v>
      </c>
      <c r="G239" s="1">
        <v>921.72</v>
      </c>
      <c r="H239" s="33"/>
    </row>
    <row r="240" spans="2:8" x14ac:dyDescent="0.25">
      <c r="C240" s="16">
        <v>12</v>
      </c>
      <c r="D240" s="14" t="s">
        <v>226</v>
      </c>
      <c r="E240" s="8">
        <v>7</v>
      </c>
      <c r="F240" s="1">
        <v>183.16</v>
      </c>
      <c r="G240" s="1">
        <v>1282.1199999999999</v>
      </c>
      <c r="H240" s="33"/>
    </row>
    <row r="241" spans="2:8" x14ac:dyDescent="0.25">
      <c r="C241" s="16">
        <v>13</v>
      </c>
      <c r="D241" s="14" t="s">
        <v>227</v>
      </c>
      <c r="E241" s="8">
        <v>3</v>
      </c>
      <c r="F241" s="1">
        <v>185.61</v>
      </c>
      <c r="G241" s="1">
        <v>556.84</v>
      </c>
      <c r="H241" s="33"/>
    </row>
    <row r="242" spans="2:8" x14ac:dyDescent="0.25">
      <c r="C242" s="16">
        <v>14</v>
      </c>
      <c r="D242" s="14" t="s">
        <v>228</v>
      </c>
      <c r="E242" s="8">
        <v>3</v>
      </c>
      <c r="F242" s="1">
        <v>184.64</v>
      </c>
      <c r="G242" s="1">
        <v>553.91999999999996</v>
      </c>
      <c r="H242" s="33"/>
    </row>
    <row r="243" spans="2:8" x14ac:dyDescent="0.25">
      <c r="C243" s="16">
        <v>15</v>
      </c>
      <c r="D243" s="14" t="s">
        <v>229</v>
      </c>
      <c r="E243" s="8">
        <v>11</v>
      </c>
      <c r="F243" s="1">
        <v>185.1</v>
      </c>
      <c r="G243" s="1">
        <v>2036.13</v>
      </c>
      <c r="H243" s="33"/>
    </row>
    <row r="244" spans="2:8" x14ac:dyDescent="0.25">
      <c r="C244" s="16">
        <v>16</v>
      </c>
      <c r="D244" s="14" t="s">
        <v>230</v>
      </c>
      <c r="E244" s="8">
        <v>2</v>
      </c>
      <c r="F244" s="1">
        <v>188.34</v>
      </c>
      <c r="G244" s="1">
        <v>376.68</v>
      </c>
      <c r="H244" s="33"/>
    </row>
    <row r="245" spans="2:8" x14ac:dyDescent="0.25">
      <c r="C245" s="16">
        <v>17</v>
      </c>
      <c r="D245" s="14" t="s">
        <v>231</v>
      </c>
      <c r="E245" s="8">
        <v>7</v>
      </c>
      <c r="F245" s="1">
        <v>188.34</v>
      </c>
      <c r="G245" s="1">
        <v>1318.38</v>
      </c>
      <c r="H245" s="33"/>
    </row>
    <row r="246" spans="2:8" x14ac:dyDescent="0.25">
      <c r="C246" s="16">
        <v>18</v>
      </c>
      <c r="D246" s="14" t="s">
        <v>232</v>
      </c>
      <c r="E246" s="8">
        <v>5</v>
      </c>
      <c r="F246" s="1">
        <v>183.16</v>
      </c>
      <c r="G246" s="1">
        <v>915.8</v>
      </c>
      <c r="H246" s="33"/>
    </row>
    <row r="247" spans="2:8" x14ac:dyDescent="0.25">
      <c r="B247" s="42"/>
      <c r="C247" s="43"/>
      <c r="D247" s="44"/>
      <c r="E247" s="45"/>
      <c r="F247" s="46"/>
      <c r="G247" s="46"/>
      <c r="H247" s="47"/>
    </row>
  </sheetData>
  <mergeCells count="3">
    <mergeCell ref="B1:H1"/>
    <mergeCell ref="B2:H2"/>
    <mergeCell ref="B4:H4"/>
  </mergeCells>
  <phoneticPr fontId="16" type="noConversion"/>
  <pageMargins left="0.7" right="0.7" top="0.75" bottom="0.75" header="0.3" footer="0.3"/>
  <pageSetup paperSize="9" orientation="landscape" r:id="rId1"/>
  <ignoredErrors>
    <ignoredError sqref="H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 Stock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 ADMIN</dc:creator>
  <cp:lastModifiedBy>PEC ADMIN</cp:lastModifiedBy>
  <dcterms:created xsi:type="dcterms:W3CDTF">2025-11-29T07:47:51Z</dcterms:created>
  <dcterms:modified xsi:type="dcterms:W3CDTF">2026-10-14T07:41:21Z</dcterms:modified>
</cp:coreProperties>
</file>